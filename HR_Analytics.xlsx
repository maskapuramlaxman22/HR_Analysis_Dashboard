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4fbf2a72ca55dfe/文档/Desktop/DA/EXCEL/Excel_Projects/"/>
    </mc:Choice>
  </mc:AlternateContent>
  <xr:revisionPtr revIDLastSave="2311" documentId="11_284345BFB7FCA4CE15BD2FCC8AC14283E6B61DFD" xr6:coauthVersionLast="47" xr6:coauthVersionMax="47" xr10:uidLastSave="{299113B3-2B1B-492F-8FC4-F30B7FEB9387}"/>
  <bookViews>
    <workbookView xWindow="-108" yWindow="-108" windowWidth="23256" windowHeight="12456" activeTab="2" xr2:uid="{00000000-000D-0000-FFFF-FFFF00000000}"/>
  </bookViews>
  <sheets>
    <sheet name="HR_Data" sheetId="1" r:id="rId1"/>
    <sheet name="HR ANALYSIS" sheetId="3" r:id="rId2"/>
    <sheet name="DASHBOARD" sheetId="2" r:id="rId3"/>
  </sheets>
  <definedNames>
    <definedName name="Slicer_City">#N/A</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A6" i="3"/>
  <c r="F4" i="3"/>
  <c r="H6" i="3"/>
  <c r="G6" i="3"/>
  <c r="D6" i="3"/>
  <c r="F6" i="3" l="1"/>
</calcChain>
</file>

<file path=xl/sharedStrings.xml><?xml version="1.0" encoding="utf-8"?>
<sst xmlns="http://schemas.openxmlformats.org/spreadsheetml/2006/main" count="17148" uniqueCount="1154">
  <si>
    <t>Employee ID</t>
  </si>
  <si>
    <t>Gender</t>
  </si>
  <si>
    <t>Age</t>
  </si>
  <si>
    <t>Department</t>
  </si>
  <si>
    <t>Job Role</t>
  </si>
  <si>
    <t>Job Level</t>
  </si>
  <si>
    <t>Monthly Salary</t>
  </si>
  <si>
    <t>Hire Date</t>
  </si>
  <si>
    <t>Education</t>
  </si>
  <si>
    <t>City</t>
  </si>
  <si>
    <t>Marital Status</t>
  </si>
  <si>
    <t>Years of Experience</t>
  </si>
  <si>
    <t>Job Satisfaction</t>
  </si>
  <si>
    <t>Work Life Balance</t>
  </si>
  <si>
    <t>Performance Rating</t>
  </si>
  <si>
    <t>Overtime</t>
  </si>
  <si>
    <t>Monthly Hours</t>
  </si>
  <si>
    <t>Training Hours</t>
  </si>
  <si>
    <t>Leave Days</t>
  </si>
  <si>
    <t>Remote Work</t>
  </si>
  <si>
    <t>Promotion in Last 2 Years</t>
  </si>
  <si>
    <t>Attrition</t>
  </si>
  <si>
    <t>Employment Status</t>
  </si>
  <si>
    <t>Hire Year</t>
  </si>
  <si>
    <t>Hire Month</t>
  </si>
  <si>
    <t>Age Group</t>
  </si>
  <si>
    <t>Salary Band</t>
  </si>
  <si>
    <t>E0001</t>
  </si>
  <si>
    <t>Male</t>
  </si>
  <si>
    <t>IT</t>
  </si>
  <si>
    <t>System Administrator</t>
  </si>
  <si>
    <t>Mid-Level</t>
  </si>
  <si>
    <t>Master's</t>
  </si>
  <si>
    <t>Pune</t>
  </si>
  <si>
    <t>Divorced</t>
  </si>
  <si>
    <t>Low</t>
  </si>
  <si>
    <t>No</t>
  </si>
  <si>
    <t>Yes</t>
  </si>
  <si>
    <t>Resigned</t>
  </si>
  <si>
    <t>Feb</t>
  </si>
  <si>
    <t>31-35</t>
  </si>
  <si>
    <t>40K-60K</t>
  </si>
  <si>
    <t>E0002</t>
  </si>
  <si>
    <t>Female</t>
  </si>
  <si>
    <t>Sales</t>
  </si>
  <si>
    <t>Account Manager</t>
  </si>
  <si>
    <t>Senior</t>
  </si>
  <si>
    <t>PhD</t>
  </si>
  <si>
    <t>Bengaluru</t>
  </si>
  <si>
    <t>Married</t>
  </si>
  <si>
    <t>Good</t>
  </si>
  <si>
    <t>Sep</t>
  </si>
  <si>
    <t>60K-90K</t>
  </si>
  <si>
    <t>E0003</t>
  </si>
  <si>
    <t>HR</t>
  </si>
  <si>
    <t>Training Specialist</t>
  </si>
  <si>
    <t>Junior</t>
  </si>
  <si>
    <t>Bachelor's</t>
  </si>
  <si>
    <t>Single</t>
  </si>
  <si>
    <t>Excellent</t>
  </si>
  <si>
    <t>Active</t>
  </si>
  <si>
    <t>Jun</t>
  </si>
  <si>
    <t>36-40</t>
  </si>
  <si>
    <t>&lt;40K</t>
  </si>
  <si>
    <t>E0004</t>
  </si>
  <si>
    <t>Operations</t>
  </si>
  <si>
    <t>Process Analyst</t>
  </si>
  <si>
    <t>Mumbai</t>
  </si>
  <si>
    <t>Average</t>
  </si>
  <si>
    <t>Apr</t>
  </si>
  <si>
    <t>41-50</t>
  </si>
  <si>
    <t>E0005</t>
  </si>
  <si>
    <t>Supply Chain Analyst</t>
  </si>
  <si>
    <t>Chennai</t>
  </si>
  <si>
    <t>May</t>
  </si>
  <si>
    <t>26-30</t>
  </si>
  <si>
    <t>E0006</t>
  </si>
  <si>
    <t>Customer Service</t>
  </si>
  <si>
    <t>Service Representative</t>
  </si>
  <si>
    <t>Jul</t>
  </si>
  <si>
    <t>E0007</t>
  </si>
  <si>
    <t>Marketing</t>
  </si>
  <si>
    <t>Marketing Manager</t>
  </si>
  <si>
    <t>Oct</t>
  </si>
  <si>
    <t>E0008</t>
  </si>
  <si>
    <t>Finance</t>
  </si>
  <si>
    <t>Accountant</t>
  </si>
  <si>
    <t>90K-130K</t>
  </si>
  <si>
    <t>E0009</t>
  </si>
  <si>
    <t>R&amp;D</t>
  </si>
  <si>
    <t>Research Analyst</t>
  </si>
  <si>
    <t>Delhi</t>
  </si>
  <si>
    <t>E0010</t>
  </si>
  <si>
    <t>Data Analyst</t>
  </si>
  <si>
    <t>Jan</t>
  </si>
  <si>
    <t>E0011</t>
  </si>
  <si>
    <t>Manager</t>
  </si>
  <si>
    <t>E0012</t>
  </si>
  <si>
    <t>Diploma</t>
  </si>
  <si>
    <t>Hyderabad</t>
  </si>
  <si>
    <t>E0013</t>
  </si>
  <si>
    <t>Visakhapatnam</t>
  </si>
  <si>
    <t>E0014</t>
  </si>
  <si>
    <t>Software Engineer</t>
  </si>
  <si>
    <t>21-25</t>
  </si>
  <si>
    <t>130K+</t>
  </si>
  <si>
    <t>E0015</t>
  </si>
  <si>
    <t>MBA</t>
  </si>
  <si>
    <t>E0016</t>
  </si>
  <si>
    <t>Business Development Executive</t>
  </si>
  <si>
    <t>E0017</t>
  </si>
  <si>
    <t>HR Manager</t>
  </si>
  <si>
    <t>E0018</t>
  </si>
  <si>
    <t>Digital Marketing Specialist</t>
  </si>
  <si>
    <t>E0019</t>
  </si>
  <si>
    <t>Sales Manager</t>
  </si>
  <si>
    <t>Dec</t>
  </si>
  <si>
    <t>E0020</t>
  </si>
  <si>
    <t>Kolkata</t>
  </si>
  <si>
    <t>E0021</t>
  </si>
  <si>
    <t>Operations Executive</t>
  </si>
  <si>
    <t>E0022</t>
  </si>
  <si>
    <t>IT Support Specialist</t>
  </si>
  <si>
    <t>Nov</t>
  </si>
  <si>
    <t>E0023</t>
  </si>
  <si>
    <t>E0024</t>
  </si>
  <si>
    <t>On Leave</t>
  </si>
  <si>
    <t>E0025</t>
  </si>
  <si>
    <t>Aug</t>
  </si>
  <si>
    <t>E0026</t>
  </si>
  <si>
    <t>R&amp;D Manager</t>
  </si>
  <si>
    <t>E0027</t>
  </si>
  <si>
    <t>E0028</t>
  </si>
  <si>
    <t>Call Center Executive</t>
  </si>
  <si>
    <t>E0029</t>
  </si>
  <si>
    <t>E0030</t>
  </si>
  <si>
    <t>E0031</t>
  </si>
  <si>
    <t>E0032</t>
  </si>
  <si>
    <t>Customer Service Manager</t>
  </si>
  <si>
    <t>E0033</t>
  </si>
  <si>
    <t>E0034</t>
  </si>
  <si>
    <t>E0035</t>
  </si>
  <si>
    <t>Mar</t>
  </si>
  <si>
    <t>E0036</t>
  </si>
  <si>
    <t>Product Developer</t>
  </si>
  <si>
    <t>E0037</t>
  </si>
  <si>
    <t>E0038</t>
  </si>
  <si>
    <t>Operations Manager</t>
  </si>
  <si>
    <t>E0039</t>
  </si>
  <si>
    <t>E0040</t>
  </si>
  <si>
    <t>E0041</t>
  </si>
  <si>
    <t>Finance Manager</t>
  </si>
  <si>
    <t>E0042</t>
  </si>
  <si>
    <t>HR Executive</t>
  </si>
  <si>
    <t>E0043</t>
  </si>
  <si>
    <t>E0044</t>
  </si>
  <si>
    <t>E0045</t>
  </si>
  <si>
    <t>E0046</t>
  </si>
  <si>
    <t>E0047</t>
  </si>
  <si>
    <t>Payroll Specialist</t>
  </si>
  <si>
    <t>E0048</t>
  </si>
  <si>
    <t>E0049</t>
  </si>
  <si>
    <t>E0050</t>
  </si>
  <si>
    <t>E0051</t>
  </si>
  <si>
    <t>E0052</t>
  </si>
  <si>
    <t>Content Specialist</t>
  </si>
  <si>
    <t>E0053</t>
  </si>
  <si>
    <t>E0054</t>
  </si>
  <si>
    <t>Financial Analyst</t>
  </si>
  <si>
    <t>E0055</t>
  </si>
  <si>
    <t>E0056</t>
  </si>
  <si>
    <t>E0057</t>
  </si>
  <si>
    <t>E0058</t>
  </si>
  <si>
    <t>E0059</t>
  </si>
  <si>
    <t>E0060</t>
  </si>
  <si>
    <t>E0061</t>
  </si>
  <si>
    <t>E0062</t>
  </si>
  <si>
    <t>E0063</t>
  </si>
  <si>
    <t>E0064</t>
  </si>
  <si>
    <t>E0065</t>
  </si>
  <si>
    <t>E0066</t>
  </si>
  <si>
    <t>E0067</t>
  </si>
  <si>
    <t>Customer Support Executive</t>
  </si>
  <si>
    <t>E0068</t>
  </si>
  <si>
    <t>E0069</t>
  </si>
  <si>
    <t>E0070</t>
  </si>
  <si>
    <t>E0071</t>
  </si>
  <si>
    <t>E0072</t>
  </si>
  <si>
    <t>E0073</t>
  </si>
  <si>
    <t>E0074</t>
  </si>
  <si>
    <t>E0075</t>
  </si>
  <si>
    <t>E0076</t>
  </si>
  <si>
    <t>E0077</t>
  </si>
  <si>
    <t>E0078</t>
  </si>
  <si>
    <t>E0079</t>
  </si>
  <si>
    <t>E0080</t>
  </si>
  <si>
    <t>E0081</t>
  </si>
  <si>
    <t>E0082</t>
  </si>
  <si>
    <t>E0083</t>
  </si>
  <si>
    <t>E0084</t>
  </si>
  <si>
    <t>E0085</t>
  </si>
  <si>
    <t>Marketing Executive</t>
  </si>
  <si>
    <t>E0086</t>
  </si>
  <si>
    <t>Research Engineer</t>
  </si>
  <si>
    <t>E0087</t>
  </si>
  <si>
    <t>E0088</t>
  </si>
  <si>
    <t>E0089</t>
  </si>
  <si>
    <t>Recruiter</t>
  </si>
  <si>
    <t>E0090</t>
  </si>
  <si>
    <t>E0091</t>
  </si>
  <si>
    <t>E0092</t>
  </si>
  <si>
    <t>E0093</t>
  </si>
  <si>
    <t>E0094</t>
  </si>
  <si>
    <t>E0095</t>
  </si>
  <si>
    <t>E0096</t>
  </si>
  <si>
    <t>E0097</t>
  </si>
  <si>
    <t>E0098</t>
  </si>
  <si>
    <t>E0099</t>
  </si>
  <si>
    <t>E0100</t>
  </si>
  <si>
    <t>Sales Executive</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</si>
  <si>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</si>
  <si>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</si>
  <si>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</si>
  <si>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</si>
  <si>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</si>
  <si>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</si>
  <si>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</si>
  <si>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</si>
  <si>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</si>
  <si>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</si>
  <si>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</si>
  <si>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</si>
  <si>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</si>
  <si>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</si>
  <si>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</si>
  <si>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</si>
  <si>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</si>
  <si>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</si>
  <si>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</si>
  <si>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</si>
  <si>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</si>
  <si>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</si>
  <si>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</si>
  <si>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</si>
  <si>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</si>
  <si>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</si>
  <si>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</si>
  <si>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</si>
  <si>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</si>
  <si>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</si>
  <si>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</si>
  <si>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</si>
  <si>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</si>
  <si>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</si>
  <si>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</si>
  <si>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</si>
  <si>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</si>
  <si>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</si>
  <si>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</si>
  <si>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</si>
  <si>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</si>
  <si>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</si>
  <si>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</si>
  <si>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</si>
  <si>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</si>
  <si>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</si>
  <si>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</si>
  <si>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</si>
  <si>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</si>
  <si>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</si>
  <si>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</si>
  <si>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</si>
  <si>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</si>
  <si>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</si>
  <si>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</si>
  <si>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</si>
  <si>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</si>
  <si>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</si>
  <si>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</si>
  <si>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</si>
  <si>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</si>
  <si>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</si>
  <si>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</si>
  <si>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</si>
  <si>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</si>
  <si>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</si>
  <si>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</si>
  <si>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</si>
  <si>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</si>
  <si>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</si>
  <si>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</si>
  <si>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</si>
  <si>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</si>
  <si>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</si>
  <si>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</si>
  <si>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</si>
  <si>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</si>
  <si>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</si>
  <si>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</si>
  <si>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</si>
  <si>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51-60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</si>
  <si>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</si>
  <si>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</si>
  <si>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</si>
  <si>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</si>
  <si>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</si>
  <si>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</si>
  <si>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</si>
  <si>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</si>
  <si>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</si>
  <si>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</si>
  <si>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</si>
  <si>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</si>
  <si>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</si>
  <si>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</si>
  <si>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</si>
  <si>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</si>
  <si>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</si>
  <si>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</si>
  <si>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</si>
  <si>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</si>
  <si>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</si>
  <si>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</si>
  <si>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</si>
  <si>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</si>
  <si>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</si>
  <si>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</si>
  <si>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</si>
  <si>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</si>
  <si>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</si>
  <si>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</si>
  <si>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</si>
  <si>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</si>
  <si>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</si>
  <si>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</si>
  <si>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</si>
  <si>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</si>
  <si>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</si>
  <si>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</si>
  <si>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</si>
  <si>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</si>
  <si>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</si>
  <si>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</si>
  <si>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</si>
  <si>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</si>
  <si>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</si>
  <si>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</si>
  <si>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</si>
  <si>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</si>
  <si>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</si>
  <si>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</si>
  <si>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</si>
  <si>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</si>
  <si>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</si>
  <si>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</si>
  <si>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</si>
  <si>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</si>
  <si>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</si>
  <si>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</si>
  <si>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</si>
  <si>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</si>
  <si>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</si>
  <si>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</si>
  <si>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</si>
  <si>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</si>
  <si>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</si>
  <si>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</si>
  <si>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</si>
  <si>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</si>
  <si>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</si>
  <si>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</si>
  <si>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</si>
  <si>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</si>
  <si>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</si>
  <si>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</si>
  <si>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</si>
  <si>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</si>
  <si>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</si>
  <si>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</si>
  <si>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</si>
  <si>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</si>
  <si>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</si>
  <si>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</si>
  <si>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</si>
  <si>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</si>
  <si>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</si>
  <si>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</si>
  <si>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</si>
  <si>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</si>
  <si>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</si>
  <si>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</si>
  <si>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</si>
  <si>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</si>
  <si>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</si>
  <si>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</si>
  <si>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</si>
  <si>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</si>
  <si>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</si>
  <si>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</si>
  <si>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</si>
  <si>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</si>
  <si>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</si>
  <si>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</si>
  <si>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</si>
  <si>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</si>
  <si>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</si>
  <si>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</si>
  <si>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</si>
  <si>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</si>
  <si>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</si>
  <si>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</si>
  <si>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</si>
  <si>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</si>
  <si>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</si>
  <si>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</si>
  <si>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</si>
  <si>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</si>
  <si>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</si>
  <si>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</si>
  <si>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</si>
  <si>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</si>
  <si>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</si>
  <si>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</si>
  <si>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</si>
  <si>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</si>
  <si>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</si>
  <si>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</si>
  <si>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</si>
  <si>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</si>
  <si>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</si>
  <si>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</si>
  <si>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</si>
  <si>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</si>
  <si>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</si>
  <si>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</si>
  <si>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</si>
  <si>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</si>
  <si>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</si>
  <si>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</si>
  <si>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</si>
  <si>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</si>
  <si>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</si>
  <si>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</si>
  <si>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</si>
  <si>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</si>
  <si>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</si>
  <si>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</si>
  <si>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</si>
  <si>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</si>
  <si>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</si>
  <si>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</si>
  <si>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</si>
  <si>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</si>
  <si>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</si>
  <si>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</si>
  <si>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</si>
  <si>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</si>
  <si>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</si>
  <si>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</si>
  <si>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</si>
  <si>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</si>
  <si>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</si>
  <si>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</si>
  <si>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</si>
  <si>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</si>
  <si>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</si>
  <si>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</si>
  <si>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</si>
  <si>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</si>
  <si>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</si>
  <si>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</si>
  <si>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</si>
  <si>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</si>
  <si>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</si>
  <si>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</si>
  <si>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</si>
  <si>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</si>
  <si>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</si>
  <si>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</si>
  <si>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</si>
  <si>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</si>
  <si>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</si>
  <si>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</si>
  <si>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</si>
  <si>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</si>
  <si>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</si>
  <si>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</si>
  <si>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</si>
  <si>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</si>
  <si>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</si>
  <si>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</si>
  <si>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</si>
  <si>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</si>
  <si>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</si>
  <si>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</si>
  <si>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</si>
  <si>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</si>
  <si>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</si>
  <si>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</si>
  <si>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</si>
  <si>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</si>
  <si>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</si>
  <si>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</si>
  <si>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</si>
  <si>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</si>
  <si>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</si>
  <si>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</si>
  <si>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</si>
  <si>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</si>
  <si>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</si>
  <si>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</si>
  <si>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</si>
  <si>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</si>
  <si>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</si>
  <si>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</si>
  <si>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</si>
  <si>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</si>
  <si>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</si>
  <si>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</si>
  <si>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</si>
  <si>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</si>
  <si>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</si>
  <si>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</si>
  <si>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</si>
  <si>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</si>
  <si>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</si>
  <si>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</si>
  <si>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</si>
  <si>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</si>
  <si>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</si>
  <si>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</si>
  <si>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</si>
  <si>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</si>
  <si>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</si>
  <si>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</si>
  <si>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</si>
  <si>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</si>
  <si>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</si>
  <si>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</si>
  <si>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</si>
  <si>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</si>
  <si>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</si>
  <si>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</si>
  <si>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</si>
  <si>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</si>
  <si>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</si>
  <si>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</si>
  <si>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</si>
  <si>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</si>
  <si>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</si>
  <si>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</si>
  <si>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</si>
  <si>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</si>
  <si>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</si>
  <si>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</si>
  <si>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</si>
  <si>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</si>
  <si>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</si>
  <si>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</si>
  <si>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</si>
  <si>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</si>
  <si>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</si>
  <si>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</si>
  <si>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</si>
  <si>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</si>
  <si>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</si>
  <si>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</si>
  <si>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</si>
  <si>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</si>
  <si>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</si>
  <si>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</si>
  <si>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</si>
  <si>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</si>
  <si>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</si>
  <si>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</si>
  <si>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</si>
  <si>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</si>
  <si>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</si>
  <si>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</si>
  <si>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</si>
  <si>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</si>
  <si>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</si>
  <si>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</si>
  <si>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</si>
  <si>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</si>
  <si>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</si>
  <si>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</si>
  <si>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</si>
  <si>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</si>
  <si>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</si>
  <si>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</si>
  <si>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</si>
  <si>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</si>
  <si>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</si>
  <si>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</si>
  <si>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</si>
  <si>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</si>
  <si>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</si>
  <si>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</si>
  <si>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</si>
  <si>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</si>
  <si>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</si>
  <si>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</si>
  <si>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</si>
  <si>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</si>
  <si>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</si>
  <si>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</si>
  <si>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</si>
  <si>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</si>
  <si>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</si>
  <si>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</si>
  <si>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</si>
  <si>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</si>
  <si>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</si>
  <si>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</si>
  <si>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</si>
  <si>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</si>
  <si>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</si>
  <si>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</si>
  <si>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</si>
  <si>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</si>
  <si>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</si>
  <si>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</si>
  <si>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</si>
  <si>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</si>
  <si>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</si>
  <si>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</si>
  <si>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</si>
  <si>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</si>
  <si>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</si>
  <si>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</si>
  <si>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</si>
  <si>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</si>
  <si>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</si>
  <si>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</si>
  <si>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</si>
  <si>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</si>
  <si>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</si>
  <si>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</si>
  <si>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</si>
  <si>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</si>
  <si>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</si>
  <si>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</si>
  <si>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</si>
  <si>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</si>
  <si>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</si>
  <si>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</si>
  <si>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</si>
  <si>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</si>
  <si>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</si>
  <si>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</si>
  <si>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</si>
  <si>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</si>
  <si>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</si>
  <si>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</si>
  <si>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</si>
  <si>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</si>
  <si>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</si>
  <si>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</si>
  <si>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</si>
  <si>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</si>
  <si>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</si>
  <si>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</si>
  <si>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</si>
  <si>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</si>
  <si>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</si>
  <si>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</si>
  <si>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</si>
  <si>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</si>
  <si>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</si>
  <si>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</si>
  <si>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</si>
  <si>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</si>
  <si>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</si>
  <si>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</si>
  <si>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</si>
  <si>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</si>
  <si>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</si>
  <si>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</si>
  <si>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</si>
  <si>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</si>
  <si>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</si>
  <si>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</si>
  <si>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</si>
  <si>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</si>
  <si>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</si>
  <si>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</si>
  <si>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</si>
  <si>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</si>
  <si>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</si>
  <si>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</si>
  <si>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</si>
  <si>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</si>
  <si>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</si>
  <si>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</si>
  <si>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</si>
  <si>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</si>
  <si>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</si>
  <si>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</si>
  <si>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</si>
  <si>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</si>
  <si>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</si>
  <si>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</si>
  <si>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</si>
  <si>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</si>
  <si>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</si>
  <si>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</si>
  <si>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</si>
  <si>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</si>
  <si>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</si>
  <si>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</si>
  <si>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</si>
  <si>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</si>
  <si>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</si>
  <si>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</si>
  <si>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</si>
  <si>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</si>
  <si>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</si>
  <si>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</si>
  <si>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</si>
  <si>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</si>
  <si>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</si>
  <si>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</si>
  <si>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</si>
  <si>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</si>
  <si>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</si>
  <si>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</si>
  <si>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</si>
  <si>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</si>
  <si>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</si>
  <si>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</si>
  <si>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</si>
  <si>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</si>
  <si>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</si>
  <si>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</si>
  <si>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</si>
  <si>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</si>
  <si>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</si>
  <si>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</si>
  <si>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</si>
  <si>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</si>
  <si>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</si>
  <si>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</si>
  <si>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</si>
  <si>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</si>
  <si>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</si>
  <si>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</si>
  <si>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</si>
  <si>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</si>
  <si>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</si>
  <si>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</si>
  <si>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</si>
  <si>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</si>
  <si>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</si>
  <si>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</si>
  <si>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</si>
  <si>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</si>
  <si>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</si>
  <si>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</si>
  <si>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</si>
  <si>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</si>
  <si>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</si>
  <si>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</si>
  <si>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</si>
  <si>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</si>
  <si>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</si>
  <si>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</si>
  <si>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</si>
  <si>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</si>
  <si>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</si>
  <si>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</si>
  <si>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</si>
  <si>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</si>
  <si>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</si>
  <si>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</si>
  <si>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</si>
  <si>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</si>
  <si>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</si>
  <si>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</si>
  <si>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</si>
  <si>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</si>
  <si>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</si>
  <si>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</si>
  <si>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</si>
  <si>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</si>
  <si>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</si>
  <si>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</si>
  <si>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</si>
  <si>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</si>
  <si>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</si>
  <si>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</si>
  <si>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</si>
  <si>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</si>
  <si>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</si>
  <si>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</si>
  <si>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</si>
  <si>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</si>
  <si>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</si>
  <si>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</si>
  <si>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</si>
  <si>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</si>
  <si>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</si>
  <si>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</si>
  <si>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</si>
  <si>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</si>
  <si>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</si>
  <si>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</si>
  <si>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</si>
  <si>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</si>
  <si>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</si>
  <si>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</si>
  <si>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</si>
  <si>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</si>
  <si>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</si>
  <si>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</si>
  <si>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</si>
  <si>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</si>
  <si>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</si>
  <si>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</si>
  <si>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</si>
  <si>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</si>
  <si>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</si>
  <si>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</si>
  <si>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</si>
  <si>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</si>
  <si>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</si>
  <si>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</si>
  <si>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</si>
  <si>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</si>
  <si>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</si>
  <si>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</si>
  <si>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</si>
  <si>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</si>
  <si>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</si>
  <si>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</si>
  <si>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</si>
  <si>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</si>
  <si>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</si>
  <si>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</si>
  <si>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</si>
  <si>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</si>
  <si>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</si>
  <si>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</si>
  <si>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</si>
  <si>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</si>
  <si>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</si>
  <si>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</si>
  <si>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</si>
  <si>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</si>
  <si>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</si>
  <si>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</si>
  <si>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</si>
  <si>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</si>
  <si>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</si>
  <si>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</si>
  <si>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</si>
  <si>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</si>
  <si>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</si>
  <si>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</si>
  <si>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</si>
  <si>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</si>
  <si>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</si>
  <si>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</si>
  <si>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</si>
  <si>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</si>
  <si>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</si>
  <si>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</si>
  <si>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</si>
  <si>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</si>
  <si>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</si>
  <si>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</si>
  <si>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</si>
  <si>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</si>
  <si>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</si>
  <si>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</si>
  <si>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</si>
  <si>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</si>
  <si>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</si>
  <si>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</si>
  <si>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</si>
  <si>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</si>
  <si>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</si>
  <si>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</si>
  <si>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</si>
  <si>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</si>
  <si>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</si>
  <si>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</si>
  <si>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</si>
  <si>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</si>
  <si>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</si>
  <si>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</si>
  <si>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</si>
  <si>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</si>
  <si>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</si>
  <si>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</si>
  <si>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</si>
  <si>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</si>
  <si>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</si>
  <si>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</si>
  <si>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</si>
  <si>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</si>
  <si>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</si>
  <si>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</si>
  <si>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</si>
  <si>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</si>
  <si>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</si>
  <si>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</si>
  <si>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</si>
  <si>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</si>
  <si>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</si>
  <si>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</si>
  <si>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</si>
  <si>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</si>
  <si>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</si>
  <si>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</si>
  <si>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</si>
  <si>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</si>
  <si>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</si>
  <si>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</si>
  <si>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</si>
  <si>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</si>
  <si>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</si>
  <si>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</si>
  <si>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</si>
  <si>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</si>
  <si>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</si>
  <si>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</si>
  <si>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</si>
  <si>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</si>
  <si>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</si>
  <si>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</si>
  <si>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</si>
  <si>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</si>
  <si>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</si>
  <si>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</si>
  <si>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</si>
  <si>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</si>
  <si>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</si>
  <si>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</si>
  <si>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</si>
  <si>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</si>
  <si>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</si>
  <si>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</si>
  <si>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</si>
  <si>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</si>
  <si>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</si>
  <si>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</si>
  <si>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</si>
  <si>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</si>
  <si>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</si>
  <si>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</si>
  <si>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</si>
  <si>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</si>
  <si>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</si>
  <si>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</si>
  <si>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</si>
  <si>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</si>
  <si>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</si>
  <si>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</si>
  <si>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</si>
  <si>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</si>
  <si>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</si>
  <si>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</si>
  <si>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</si>
  <si>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</si>
  <si>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</si>
  <si>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</si>
  <si>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</si>
  <si>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</si>
  <si>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</si>
  <si>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</si>
  <si>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</si>
  <si>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</si>
  <si>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</si>
  <si>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</si>
  <si>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</si>
  <si>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</si>
  <si>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</si>
  <si>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</si>
  <si>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</si>
  <si>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</si>
  <si>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</si>
  <si>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</si>
  <si>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</si>
  <si>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</si>
  <si>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</si>
  <si>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</si>
  <si>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</si>
  <si>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</si>
  <si>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</si>
  <si>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</si>
  <si>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</si>
  <si>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</si>
  <si>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</si>
  <si>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</si>
  <si>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</si>
  <si>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</si>
  <si>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</si>
  <si>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</si>
  <si>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</si>
  <si>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</si>
  <si>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</si>
  <si>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</si>
  <si>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</si>
  <si>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</si>
  <si>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</si>
  <si>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</si>
  <si>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</si>
  <si>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</si>
  <si>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</si>
  <si>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</si>
  <si>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</si>
  <si>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</si>
  <si>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</si>
  <si>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</si>
  <si>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</si>
  <si>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</si>
  <si>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</si>
  <si>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</si>
  <si>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</si>
  <si>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</si>
  <si>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</si>
  <si>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</si>
  <si>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</si>
  <si>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</si>
  <si>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</si>
  <si>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</si>
  <si>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</si>
  <si>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</si>
  <si>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</si>
  <si>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</si>
  <si>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</si>
  <si>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</si>
  <si>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</si>
  <si>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</si>
  <si>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</si>
  <si>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</si>
  <si>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</si>
  <si>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</si>
  <si>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</si>
  <si>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</si>
  <si>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</si>
  <si>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</si>
  <si>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</si>
  <si>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</si>
  <si>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</si>
  <si>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</si>
  <si>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</si>
  <si>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</si>
  <si>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</si>
  <si>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</si>
  <si>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</si>
  <si>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</si>
  <si>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</si>
  <si>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</si>
  <si>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</si>
  <si>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</si>
  <si>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</si>
  <si>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</si>
  <si>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</si>
  <si>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</si>
  <si>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</si>
  <si>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</si>
  <si>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</si>
  <si>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</si>
  <si>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</si>
  <si>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</si>
  <si>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</si>
  <si>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</si>
  <si>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</si>
  <si>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</si>
  <si>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</si>
  <si>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</si>
  <si>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</si>
  <si>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</si>
  <si>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</si>
  <si>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</si>
  <si>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</si>
  <si>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</si>
  <si>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</si>
  <si>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</si>
  <si>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</si>
  <si>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</si>
  <si>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</si>
  <si>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</si>
  <si>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</si>
  <si>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</si>
  <si>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</si>
  <si>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</si>
  <si>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</si>
  <si>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</si>
  <si>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</si>
  <si>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</si>
  <si>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</si>
  <si>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</si>
  <si>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</si>
  <si>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</si>
  <si>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</si>
  <si>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</si>
  <si>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</si>
  <si>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</si>
  <si>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</si>
  <si>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</si>
  <si>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</si>
  <si>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</si>
  <si>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</si>
  <si>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</si>
  <si>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</si>
  <si>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</si>
  <si>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</si>
  <si>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</si>
  <si>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</si>
  <si>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</si>
  <si>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</si>
  <si>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</si>
  <si>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</si>
  <si>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</si>
  <si>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</si>
  <si>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</si>
  <si>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</si>
  <si>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</si>
  <si>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TOTAL EMPLOYEES</t>
  </si>
  <si>
    <t>(All)</t>
  </si>
  <si>
    <t>ACTIVE EMPLOYEES</t>
  </si>
  <si>
    <t>ATTRITION COUNT</t>
  </si>
  <si>
    <t>ATTRITION RATE</t>
  </si>
  <si>
    <t>Average of Monthly Salary</t>
  </si>
  <si>
    <t>Average of Age</t>
  </si>
  <si>
    <t>Row Labels</t>
  </si>
  <si>
    <t>Grand Total</t>
  </si>
  <si>
    <t>EMPLOYEES BY DEPARTMENT</t>
  </si>
  <si>
    <t>EMPLOYEE COUNT</t>
  </si>
  <si>
    <t>DEPARTMENT</t>
  </si>
  <si>
    <t>ATTRITION BY DEPARTMENT</t>
  </si>
  <si>
    <t>EMPLOYEES BY GENDER</t>
  </si>
  <si>
    <t>GENDER</t>
  </si>
  <si>
    <t>JOB ROLE</t>
  </si>
  <si>
    <t>ATTRITION BY JOB ROLE</t>
  </si>
  <si>
    <t>AVG SALARY BY DEPARTMENT</t>
  </si>
  <si>
    <t>41-45</t>
  </si>
  <si>
    <t>46-50</t>
  </si>
  <si>
    <t>51-55</t>
  </si>
  <si>
    <t>AGE</t>
  </si>
  <si>
    <t>AGE GROUP BY EMPLOYEE</t>
  </si>
  <si>
    <t>2019</t>
  </si>
  <si>
    <t>2020</t>
  </si>
  <si>
    <t>2021</t>
  </si>
  <si>
    <t>2022</t>
  </si>
  <si>
    <t>2023</t>
  </si>
  <si>
    <t>2024</t>
  </si>
  <si>
    <t>2025</t>
  </si>
  <si>
    <t>2026</t>
  </si>
  <si>
    <t>YEAR</t>
  </si>
  <si>
    <t>56-60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</si>
</sst>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 #,##0"/>
    <numFmt numFmtId="166" formatCode="0.0"/>
  </numFmts>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rgb="FFABABAB"/>
      </bottom>
      <diagonal/>
    </border>
    <border>
      <left style="thin">
        <color indexed="64"/>
      </left>
      <right/>
      <top/>
      <bottom style="thin">
        <color rgb="FFABABAB"/>
      </bottom>
      <diagonal/>
    </border>
    <border>
      <left/>
      <right style="thin">
        <color indexed="64"/>
      </right>
      <top/>
      <bottom style="thin">
        <color rgb="FFABABAB"/>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164" fontId="0" fillId="0" borderId="0" xfId="0" applyNumberFormat="1"/>
    <xf numFmtId="0" fontId="1" fillId="0" borderId="2" xfId="0" applyFont="1" applyBorder="1" applyAlignment="1">
      <alignment horizontal="center" vertical="top"/>
    </xf>
    <xf numFmtId="0" fontId="0" fillId="0" borderId="0" xfId="0" pivotButton="1"/>
    <xf numFmtId="9" fontId="0" fillId="0" borderId="0" xfId="1" applyFont="1"/>
    <xf numFmtId="0" fontId="3" fillId="0" borderId="0" xfId="0" applyFont="1"/>
    <xf numFmtId="165" fontId="0" fillId="0" borderId="0" xfId="0" applyNumberFormat="1"/>
    <xf numFmtId="166" fontId="0" fillId="0" borderId="0" xfId="0" applyNumberFormat="1"/>
    <xf numFmtId="0" fontId="0" fillId="0" borderId="0" xfId="0" applyAlignment="1">
      <alignment horizontal="left"/>
    </xf>
    <xf numFmtId="0" fontId="0" fillId="0" borderId="8" xfId="0" pivotButton="1" applyBorder="1"/>
    <xf numFmtId="0" fontId="0" fillId="0" borderId="9" xfId="0" applyBorder="1"/>
    <xf numFmtId="0" fontId="0" fillId="0" borderId="1" xfId="0" pivotButton="1" applyBorder="1"/>
    <xf numFmtId="0" fontId="0" fillId="0" borderId="7" xfId="0" applyBorder="1" applyAlignment="1">
      <alignment horizontal="left"/>
    </xf>
    <xf numFmtId="0" fontId="0" fillId="0" borderId="10" xfId="0" applyBorder="1" applyAlignment="1">
      <alignment horizontal="left"/>
    </xf>
    <xf numFmtId="0" fontId="0" fillId="0" borderId="2" xfId="0" applyBorder="1"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horizontal="center" vertical="top"/>
    </xf>
    <xf numFmtId="0" fontId="0" fillId="0" borderId="7" xfId="0" applyBorder="1"/>
    <xf numFmtId="0" fontId="0" fillId="0" borderId="10" xfId="0" applyBorder="1"/>
    <xf numFmtId="0" fontId="0" fillId="0" borderId="2" xfId="0" applyBorder="1"/>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xf>
  </cellXfs>
  <cellStyles count="2">
    <cellStyle name="Normal" xfId="0" builtinId="0"/>
    <cellStyle name="Percent" xfId="1" builtinId="5"/>
  </cellStyles>
  <dxfs count="23">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14"/>
        <color theme="9" tint="-0.24994659260841701"/>
        <name val="Aharoni"/>
        <charset val="177"/>
        <scheme val="none"/>
      </font>
      <fill>
        <patternFill patternType="solid">
          <fgColor auto="1"/>
          <bgColor theme="0"/>
        </patternFill>
      </fill>
      <border diagonalUp="0" diagonalDown="0">
        <left style="medium">
          <color rgb="FFFF6600"/>
        </left>
        <right style="medium">
          <color rgb="FFFF6600"/>
        </right>
        <top style="medium">
          <color rgb="FFFF6600"/>
        </top>
        <bottom style="medium">
          <color rgb="FFFF6600"/>
        </bottom>
        <vertical/>
        <horizontal/>
      </border>
    </dxf>
  </dxfs>
  <tableStyles count="4" defaultTableStyle="TableStyleMedium9" defaultPivotStyle="PivotStyleLight16">
    <tableStyle name="Slicer Style 1" pivot="0" table="0" count="1" xr9:uid="{CD476536-60E5-416C-9EA5-5F2E439FCFDB}"/>
    <tableStyle name="Slicer Style 2" pivot="0" table="0" count="1" xr9:uid="{89E6ACD1-8983-4D8B-AA7C-1427133AD886}"/>
    <tableStyle name="Slicer Style 3" pivot="0" table="0" count="1" xr9:uid="{3153BC44-5308-4EF0-9C0A-D717105BFED7}"/>
    <tableStyle name="Slicer Style 4" pivot="0" table="0" count="7" xr9:uid="{C73AABEB-6E58-4333-9DB7-E6E6E41CF118}">
      <tableStyleElement type="headerRow" dxfId="22"/>
    </tableStyle>
  </tableStyles>
  <colors>
    <mruColors>
      <color rgb="FFFF0000"/>
      <color rgb="FFFF6600"/>
      <color rgb="FF93B838"/>
      <color rgb="FFBA3672"/>
      <color rgb="FFFF66CC"/>
    </mruColors>
  </colors>
  <extLst>
    <ext xmlns:x14="http://schemas.microsoft.com/office/spreadsheetml/2009/9/main" uri="{46F421CA-312F-682f-3DD2-61675219B42D}">
      <x14:dxfs count="9">
        <dxf>
          <fill>
            <patternFill>
              <bgColor rgb="FFFFFF00"/>
            </patternFill>
          </fill>
        </dxf>
        <dxf>
          <fill>
            <gradientFill type="path" left="0.5" right="0.5" top="0.5" bottom="0.5">
              <stop position="0">
                <color theme="9" tint="0.40000610370189521"/>
              </stop>
              <stop position="1">
                <color theme="9" tint="0.80001220740379042"/>
              </stop>
            </gradientFill>
          </fill>
        </dxf>
        <dxf>
          <fill>
            <gradientFill degree="90">
              <stop position="0">
                <color theme="9"/>
              </stop>
              <stop position="1">
                <color theme="9" tint="0.80001220740379042"/>
              </stop>
            </gradientFill>
          </fill>
        </dxf>
        <dxf>
          <fill>
            <gradientFill degree="45">
              <stop position="0">
                <color theme="9" tint="0.59999389629810485"/>
              </stop>
              <stop position="1">
                <color theme="0"/>
              </stop>
            </gradientFill>
          </fill>
        </dxf>
        <dxf>
          <fill>
            <patternFill>
              <bgColor rgb="FF00B0F0"/>
            </patternFill>
          </fill>
        </dxf>
        <dxf>
          <fill>
            <patternFill>
              <fgColor rgb="FFFF6600"/>
              <bgColor theme="9"/>
            </patternFill>
          </fill>
        </dxf>
        <dxf>
          <font>
            <color theme="7" tint="0.79998168889431442"/>
            <name val="Cambria"/>
            <family val="1"/>
            <scheme val="major"/>
          </font>
        </dxf>
        <dxf>
          <font>
            <color theme="8" tint="0.79998168889431442"/>
            <name val="Calibri"/>
            <family val="2"/>
            <scheme val="minor"/>
          </font>
        </dxf>
        <dxf>
          <font>
            <color theme="5"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8"/>
          </x14:slicerStyleElements>
        </x14:slicerStyle>
        <x14:slicerStyle name="Slicer Style 2">
          <x14:slicerStyleElements>
            <x14:slicerStyleElement type="hoveredSelectedItemWithData" dxfId="7"/>
          </x14:slicerStyleElements>
        </x14:slicerStyle>
        <x14:slicerStyle name="Slicer Style 3">
          <x14:slicerStyleElements>
            <x14:slicerStyleElement type="selectedItemWithData" dxfId="6"/>
          </x14:slicerStyleElements>
        </x14:slicerStyle>
        <x14:slicerStyle name="Slicer Style 4">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ANALYSIS!PivotTable6</c:name>
    <c:fmtId val="4"/>
  </c:pivotSource>
  <c:chart>
    <c:title>
      <c:tx>
        <c:rich>
          <a:bodyPr rot="0" spcFirstLastPara="1" vertOverflow="ellipsis" vert="horz" wrap="square" anchor="ctr" anchorCtr="1"/>
          <a:lstStyle/>
          <a:p>
            <a:pPr>
              <a:defRPr sz="1400" b="0" i="0" u="none" strike="noStrike" kern="1200" cap="none" spc="20" baseline="0">
                <a:solidFill>
                  <a:schemeClr val="accent6"/>
                </a:solidFill>
                <a:latin typeface="+mn-lt"/>
                <a:ea typeface="+mn-ea"/>
                <a:cs typeface="+mn-cs"/>
              </a:defRPr>
            </a:pPr>
            <a:r>
              <a:rPr lang="en-US"/>
              <a:t>EMPLOYEE BY DEPARTMENT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ANALYSIS'!$B$10</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'HR ANALYSIS'!$A$11:$A$19</c:f>
              <c:strCache>
                <c:ptCount val="8"/>
                <c:pt idx="0">
                  <c:v>Customer Service</c:v>
                </c:pt>
                <c:pt idx="1">
                  <c:v>R&amp;D</c:v>
                </c:pt>
                <c:pt idx="2">
                  <c:v>Finance</c:v>
                </c:pt>
                <c:pt idx="3">
                  <c:v>Sales</c:v>
                </c:pt>
                <c:pt idx="4">
                  <c:v>Operations</c:v>
                </c:pt>
                <c:pt idx="5">
                  <c:v>HR</c:v>
                </c:pt>
                <c:pt idx="6">
                  <c:v>IT</c:v>
                </c:pt>
                <c:pt idx="7">
                  <c:v>Marketing</c:v>
                </c:pt>
              </c:strCache>
            </c:strRef>
          </c:cat>
          <c:val>
            <c:numRef>
              <c:f>'HR ANALYSIS'!$B$11:$B$19</c:f>
              <c:numCache>
                <c:formatCode>General</c:formatCode>
                <c:ptCount val="8"/>
                <c:pt idx="0">
                  <c:v>146</c:v>
                </c:pt>
                <c:pt idx="1">
                  <c:v>135</c:v>
                </c:pt>
                <c:pt idx="2">
                  <c:v>131</c:v>
                </c:pt>
                <c:pt idx="3">
                  <c:v>130</c:v>
                </c:pt>
                <c:pt idx="4">
                  <c:v>120</c:v>
                </c:pt>
                <c:pt idx="5">
                  <c:v>117</c:v>
                </c:pt>
                <c:pt idx="6">
                  <c:v>114</c:v>
                </c:pt>
                <c:pt idx="7">
                  <c:v>107</c:v>
                </c:pt>
              </c:numCache>
            </c:numRef>
          </c:val>
          <c:extLst>
            <c:ext xmlns:c16="http://schemas.microsoft.com/office/drawing/2014/chart" uri="{C3380CC4-5D6E-409C-BE32-E72D297353CC}">
              <c16:uniqueId val="{00000000-8B20-45C7-9EC0-2C361D033F76}"/>
            </c:ext>
          </c:extLst>
        </c:ser>
        <c:dLbls>
          <c:showLegendKey val="0"/>
          <c:showVal val="0"/>
          <c:showCatName val="0"/>
          <c:showSerName val="0"/>
          <c:showPercent val="0"/>
          <c:showBubbleSize val="0"/>
        </c:dLbls>
        <c:gapWidth val="100"/>
        <c:overlap val="-24"/>
        <c:axId val="1089450335"/>
        <c:axId val="1158583376"/>
      </c:barChart>
      <c:catAx>
        <c:axId val="10894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58583376"/>
        <c:crosses val="autoZero"/>
        <c:auto val="1"/>
        <c:lblAlgn val="ctr"/>
        <c:lblOffset val="100"/>
        <c:noMultiLvlLbl val="0"/>
      </c:catAx>
      <c:valAx>
        <c:axId val="115858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08945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softEdge rad="76200"/>
    </a:effectLst>
    <a:scene3d>
      <a:camera prst="orthographicFront"/>
      <a:lightRig rig="threePt" dir="t"/>
    </a:scene3d>
    <a:sp3d>
      <a:bevelT w="0" h="0"/>
    </a:sp3d>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ANALYSIS!PivotTable7</c:name>
    <c:fmtId val="4"/>
  </c:pivotSource>
  <c:chart>
    <c:title>
      <c:tx>
        <c:rich>
          <a:bodyPr rot="0" spcFirstLastPara="1" vertOverflow="ellipsis" vert="horz" wrap="square" anchor="ctr" anchorCtr="1"/>
          <a:lstStyle/>
          <a:p>
            <a:pPr>
              <a:defRPr sz="1800" b="1" i="0" u="none" strike="noStrike" kern="1200" cap="all" spc="50" baseline="0">
                <a:solidFill>
                  <a:schemeClr val="accent6"/>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ANALYSIS'!$E$10</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'HR ANALYSIS'!$D$11:$D$19</c:f>
              <c:strCache>
                <c:ptCount val="8"/>
                <c:pt idx="0">
                  <c:v>R&amp;D</c:v>
                </c:pt>
                <c:pt idx="1">
                  <c:v>Operations</c:v>
                </c:pt>
                <c:pt idx="2">
                  <c:v>Marketing</c:v>
                </c:pt>
                <c:pt idx="3">
                  <c:v>IT</c:v>
                </c:pt>
                <c:pt idx="4">
                  <c:v>Sales</c:v>
                </c:pt>
                <c:pt idx="5">
                  <c:v>Customer Service</c:v>
                </c:pt>
                <c:pt idx="6">
                  <c:v>Finance</c:v>
                </c:pt>
                <c:pt idx="7">
                  <c:v>HR</c:v>
                </c:pt>
              </c:strCache>
            </c:strRef>
          </c:cat>
          <c:val>
            <c:numRef>
              <c:f>'HR ANALYSIS'!$E$11:$E$19</c:f>
              <c:numCache>
                <c:formatCode>General</c:formatCode>
                <c:ptCount val="8"/>
                <c:pt idx="0">
                  <c:v>31</c:v>
                </c:pt>
                <c:pt idx="1">
                  <c:v>27</c:v>
                </c:pt>
                <c:pt idx="2">
                  <c:v>26</c:v>
                </c:pt>
                <c:pt idx="3">
                  <c:v>25</c:v>
                </c:pt>
                <c:pt idx="4">
                  <c:v>24</c:v>
                </c:pt>
                <c:pt idx="5">
                  <c:v>24</c:v>
                </c:pt>
                <c:pt idx="6">
                  <c:v>23</c:v>
                </c:pt>
                <c:pt idx="7">
                  <c:v>15</c:v>
                </c:pt>
              </c:numCache>
            </c:numRef>
          </c:val>
          <c:extLst>
            <c:ext xmlns:c16="http://schemas.microsoft.com/office/drawing/2014/chart" uri="{C3380CC4-5D6E-409C-BE32-E72D297353CC}">
              <c16:uniqueId val="{00000000-9EBA-4FC6-B461-562EAD63DD2A}"/>
            </c:ext>
          </c:extLst>
        </c:ser>
        <c:dLbls>
          <c:showLegendKey val="0"/>
          <c:showVal val="0"/>
          <c:showCatName val="0"/>
          <c:showSerName val="0"/>
          <c:showPercent val="0"/>
          <c:showBubbleSize val="0"/>
        </c:dLbls>
        <c:gapWidth val="355"/>
        <c:overlap val="-70"/>
        <c:axId val="1198327312"/>
        <c:axId val="489781679"/>
      </c:barChart>
      <c:catAx>
        <c:axId val="119832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489781679"/>
        <c:crosses val="autoZero"/>
        <c:auto val="1"/>
        <c:lblAlgn val="ctr"/>
        <c:lblOffset val="100"/>
        <c:noMultiLvlLbl val="0"/>
      </c:catAx>
      <c:valAx>
        <c:axId val="4897816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9832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softEdge rad="38100"/>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ANALYSIS!PivotTable9</c:name>
    <c:fmtId val="4"/>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ANALYSIS'!$J$10</c:f>
              <c:strCache>
                <c:ptCount val="1"/>
                <c:pt idx="0">
                  <c:v>Total</c:v>
                </c:pt>
              </c:strCache>
            </c:strRef>
          </c:tx>
          <c:spPr>
            <a:solidFill>
              <a:schemeClr val="accent6"/>
            </a:solidFill>
            <a:ln>
              <a:noFill/>
            </a:ln>
            <a:effectLst/>
          </c:spPr>
          <c:invertIfNegative val="0"/>
          <c:cat>
            <c:strRef>
              <c:f>'HR ANALYSIS'!$I$11:$I$43</c:f>
              <c:strCache>
                <c:ptCount val="32"/>
                <c:pt idx="0">
                  <c:v>Financial Analyst</c:v>
                </c:pt>
                <c:pt idx="1">
                  <c:v>Customer Service Manager</c:v>
                </c:pt>
                <c:pt idx="2">
                  <c:v>Product Developer</c:v>
                </c:pt>
                <c:pt idx="3">
                  <c:v>Process Analyst</c:v>
                </c:pt>
                <c:pt idx="4">
                  <c:v>Research Analyst</c:v>
                </c:pt>
                <c:pt idx="5">
                  <c:v>Content Specialist</c:v>
                </c:pt>
                <c:pt idx="6">
                  <c:v>Supply Chain Analyst</c:v>
                </c:pt>
                <c:pt idx="7">
                  <c:v>Data Analyst</c:v>
                </c:pt>
                <c:pt idx="8">
                  <c:v>Account Manager</c:v>
                </c:pt>
                <c:pt idx="9">
                  <c:v>Marketing Executive</c:v>
                </c:pt>
                <c:pt idx="10">
                  <c:v>System Administrator</c:v>
                </c:pt>
                <c:pt idx="11">
                  <c:v>Research Engineer</c:v>
                </c:pt>
                <c:pt idx="12">
                  <c:v>Business Development Executive</c:v>
                </c:pt>
                <c:pt idx="13">
                  <c:v>Operations Executive</c:v>
                </c:pt>
                <c:pt idx="14">
                  <c:v>IT Support Specialist</c:v>
                </c:pt>
                <c:pt idx="15">
                  <c:v>Finance Manager</c:v>
                </c:pt>
                <c:pt idx="16">
                  <c:v>Customer Support Executive</c:v>
                </c:pt>
                <c:pt idx="17">
                  <c:v>R&amp;D Manager</c:v>
                </c:pt>
                <c:pt idx="18">
                  <c:v>Call Center Executive</c:v>
                </c:pt>
                <c:pt idx="19">
                  <c:v>Sales Executive</c:v>
                </c:pt>
                <c:pt idx="20">
                  <c:v>Digital Marketing Specialist</c:v>
                </c:pt>
                <c:pt idx="21">
                  <c:v>Sales Manager</c:v>
                </c:pt>
                <c:pt idx="22">
                  <c:v>Training Specialist</c:v>
                </c:pt>
                <c:pt idx="23">
                  <c:v>Accountant</c:v>
                </c:pt>
                <c:pt idx="24">
                  <c:v>Recruiter</c:v>
                </c:pt>
                <c:pt idx="25">
                  <c:v>HR Executive</c:v>
                </c:pt>
                <c:pt idx="26">
                  <c:v>Marketing Manager</c:v>
                </c:pt>
                <c:pt idx="27">
                  <c:v>Service Representative</c:v>
                </c:pt>
                <c:pt idx="28">
                  <c:v>HR Manager</c:v>
                </c:pt>
                <c:pt idx="29">
                  <c:v>Software Engineer</c:v>
                </c:pt>
                <c:pt idx="30">
                  <c:v>Operations Manager</c:v>
                </c:pt>
                <c:pt idx="31">
                  <c:v>Payroll Specialist</c:v>
                </c:pt>
              </c:strCache>
            </c:strRef>
          </c:cat>
          <c:val>
            <c:numRef>
              <c:f>'HR ANALYSIS'!$J$11:$J$43</c:f>
              <c:numCache>
                <c:formatCode>General</c:formatCode>
                <c:ptCount val="32"/>
                <c:pt idx="0">
                  <c:v>11</c:v>
                </c:pt>
                <c:pt idx="1">
                  <c:v>10</c:v>
                </c:pt>
                <c:pt idx="2">
                  <c:v>9</c:v>
                </c:pt>
                <c:pt idx="3">
                  <c:v>9</c:v>
                </c:pt>
                <c:pt idx="4">
                  <c:v>9</c:v>
                </c:pt>
                <c:pt idx="5">
                  <c:v>9</c:v>
                </c:pt>
                <c:pt idx="6">
                  <c:v>9</c:v>
                </c:pt>
                <c:pt idx="7">
                  <c:v>8</c:v>
                </c:pt>
                <c:pt idx="8">
                  <c:v>8</c:v>
                </c:pt>
                <c:pt idx="9">
                  <c:v>8</c:v>
                </c:pt>
                <c:pt idx="10">
                  <c:v>7</c:v>
                </c:pt>
                <c:pt idx="11">
                  <c:v>7</c:v>
                </c:pt>
                <c:pt idx="12">
                  <c:v>7</c:v>
                </c:pt>
                <c:pt idx="13">
                  <c:v>7</c:v>
                </c:pt>
                <c:pt idx="14">
                  <c:v>7</c:v>
                </c:pt>
                <c:pt idx="15">
                  <c:v>6</c:v>
                </c:pt>
                <c:pt idx="16">
                  <c:v>6</c:v>
                </c:pt>
                <c:pt idx="17">
                  <c:v>6</c:v>
                </c:pt>
                <c:pt idx="18">
                  <c:v>5</c:v>
                </c:pt>
                <c:pt idx="19">
                  <c:v>5</c:v>
                </c:pt>
                <c:pt idx="20">
                  <c:v>5</c:v>
                </c:pt>
                <c:pt idx="21">
                  <c:v>4</c:v>
                </c:pt>
                <c:pt idx="22">
                  <c:v>4</c:v>
                </c:pt>
                <c:pt idx="23">
                  <c:v>4</c:v>
                </c:pt>
                <c:pt idx="24">
                  <c:v>4</c:v>
                </c:pt>
                <c:pt idx="25">
                  <c:v>4</c:v>
                </c:pt>
                <c:pt idx="26">
                  <c:v>4</c:v>
                </c:pt>
                <c:pt idx="27">
                  <c:v>3</c:v>
                </c:pt>
                <c:pt idx="28">
                  <c:v>3</c:v>
                </c:pt>
                <c:pt idx="29">
                  <c:v>3</c:v>
                </c:pt>
                <c:pt idx="30">
                  <c:v>2</c:v>
                </c:pt>
                <c:pt idx="31">
                  <c:v>2</c:v>
                </c:pt>
              </c:numCache>
            </c:numRef>
          </c:val>
          <c:extLst>
            <c:ext xmlns:c16="http://schemas.microsoft.com/office/drawing/2014/chart" uri="{C3380CC4-5D6E-409C-BE32-E72D297353CC}">
              <c16:uniqueId val="{00000000-22FF-4611-8EA8-FD25F6966324}"/>
            </c:ext>
          </c:extLst>
        </c:ser>
        <c:dLbls>
          <c:showLegendKey val="0"/>
          <c:showVal val="0"/>
          <c:showCatName val="0"/>
          <c:showSerName val="0"/>
          <c:showPercent val="0"/>
          <c:showBubbleSize val="0"/>
        </c:dLbls>
        <c:gapWidth val="182"/>
        <c:axId val="1278934720"/>
        <c:axId val="1158532976"/>
      </c:barChart>
      <c:catAx>
        <c:axId val="127893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58532976"/>
        <c:crosses val="autoZero"/>
        <c:auto val="1"/>
        <c:lblAlgn val="ctr"/>
        <c:lblOffset val="100"/>
        <c:noMultiLvlLbl val="0"/>
      </c:catAx>
      <c:valAx>
        <c:axId val="115853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2789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softEdge rad="31750"/>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ANALYSIS!PivotTable10</c:name>
    <c:fmtId val="5"/>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a:t>AVG SALES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70669291338584"/>
          <c:y val="0.26328484981044037"/>
          <c:w val="0.41138582677165353"/>
          <c:h val="0.6293157626130067"/>
        </c:manualLayout>
      </c:layout>
      <c:barChart>
        <c:barDir val="bar"/>
        <c:grouping val="clustered"/>
        <c:varyColors val="0"/>
        <c:ser>
          <c:idx val="0"/>
          <c:order val="0"/>
          <c:tx>
            <c:strRef>
              <c:f>'HR ANALYSIS'!$C$22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ANALYSIS'!$B$23:$B$31</c:f>
              <c:strCache>
                <c:ptCount val="8"/>
                <c:pt idx="0">
                  <c:v>IT</c:v>
                </c:pt>
                <c:pt idx="1">
                  <c:v>Operations</c:v>
                </c:pt>
                <c:pt idx="2">
                  <c:v>Sales</c:v>
                </c:pt>
                <c:pt idx="3">
                  <c:v>Marketing</c:v>
                </c:pt>
                <c:pt idx="4">
                  <c:v>Customer Service</c:v>
                </c:pt>
                <c:pt idx="5">
                  <c:v>Finance</c:v>
                </c:pt>
                <c:pt idx="6">
                  <c:v>HR</c:v>
                </c:pt>
                <c:pt idx="7">
                  <c:v>R&amp;D</c:v>
                </c:pt>
              </c:strCache>
            </c:strRef>
          </c:cat>
          <c:val>
            <c:numRef>
              <c:f>'HR ANALYSIS'!$C$23:$C$31</c:f>
              <c:numCache>
                <c:formatCode>"₹"\ #,##0</c:formatCode>
                <c:ptCount val="8"/>
                <c:pt idx="0">
                  <c:v>79328.18421052632</c:v>
                </c:pt>
                <c:pt idx="1">
                  <c:v>76772.40833333334</c:v>
                </c:pt>
                <c:pt idx="2">
                  <c:v>76095.307692307688</c:v>
                </c:pt>
                <c:pt idx="3">
                  <c:v>75417.90654205608</c:v>
                </c:pt>
                <c:pt idx="4">
                  <c:v>75296.452054794514</c:v>
                </c:pt>
                <c:pt idx="5">
                  <c:v>73147.175572519089</c:v>
                </c:pt>
                <c:pt idx="6">
                  <c:v>72944.461538461532</c:v>
                </c:pt>
                <c:pt idx="7">
                  <c:v>71660.733333333337</c:v>
                </c:pt>
              </c:numCache>
            </c:numRef>
          </c:val>
          <c:extLst>
            <c:ext xmlns:c16="http://schemas.microsoft.com/office/drawing/2014/chart" uri="{C3380CC4-5D6E-409C-BE32-E72D297353CC}">
              <c16:uniqueId val="{00000000-9D9E-4DB5-8AD3-E11C0B833328}"/>
            </c:ext>
          </c:extLst>
        </c:ser>
        <c:dLbls>
          <c:dLblPos val="outEnd"/>
          <c:showLegendKey val="0"/>
          <c:showVal val="1"/>
          <c:showCatName val="0"/>
          <c:showSerName val="0"/>
          <c:showPercent val="0"/>
          <c:showBubbleSize val="0"/>
        </c:dLbls>
        <c:gapWidth val="182"/>
        <c:axId val="1320718608"/>
        <c:axId val="1158556496"/>
      </c:barChart>
      <c:catAx>
        <c:axId val="132071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58556496"/>
        <c:crosses val="autoZero"/>
        <c:auto val="1"/>
        <c:lblAlgn val="ctr"/>
        <c:lblOffset val="100"/>
        <c:noMultiLvlLbl val="0"/>
      </c:catAx>
      <c:valAx>
        <c:axId val="1158556496"/>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32071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softEdge rad="76200"/>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ANALYSIS!PivotTable11</c:name>
    <c:fmtId val="4"/>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a:t>EMPLOYEE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ANALYSIS'!$E$22</c:f>
              <c:strCache>
                <c:ptCount val="1"/>
                <c:pt idx="0">
                  <c:v>Total</c:v>
                </c:pt>
              </c:strCache>
            </c:strRef>
          </c:tx>
          <c:spPr>
            <a:solidFill>
              <a:schemeClr val="accent6"/>
            </a:solidFill>
            <a:ln>
              <a:noFill/>
            </a:ln>
            <a:effectLst/>
          </c:spPr>
          <c:invertIfNegative val="0"/>
          <c:cat>
            <c:strRef>
              <c:f>'HR ANALYSIS'!$D$23:$D$31</c:f>
              <c:strCache>
                <c:ptCount val="8"/>
                <c:pt idx="0">
                  <c:v>21-25</c:v>
                </c:pt>
                <c:pt idx="1">
                  <c:v>26-30</c:v>
                </c:pt>
                <c:pt idx="2">
                  <c:v>31-35</c:v>
                </c:pt>
                <c:pt idx="3">
                  <c:v>36-40</c:v>
                </c:pt>
                <c:pt idx="4">
                  <c:v>41-45</c:v>
                </c:pt>
                <c:pt idx="5">
                  <c:v>46-50</c:v>
                </c:pt>
                <c:pt idx="6">
                  <c:v>51-55</c:v>
                </c:pt>
                <c:pt idx="7">
                  <c:v>56-60</c:v>
                </c:pt>
              </c:strCache>
            </c:strRef>
          </c:cat>
          <c:val>
            <c:numRef>
              <c:f>'HR ANALYSIS'!$E$23:$E$31</c:f>
              <c:numCache>
                <c:formatCode>General</c:formatCode>
                <c:ptCount val="8"/>
                <c:pt idx="0">
                  <c:v>183</c:v>
                </c:pt>
                <c:pt idx="1">
                  <c:v>251</c:v>
                </c:pt>
                <c:pt idx="2">
                  <c:v>283</c:v>
                </c:pt>
                <c:pt idx="3">
                  <c:v>182</c:v>
                </c:pt>
                <c:pt idx="4">
                  <c:v>77</c:v>
                </c:pt>
                <c:pt idx="5">
                  <c:v>21</c:v>
                </c:pt>
                <c:pt idx="6">
                  <c:v>2</c:v>
                </c:pt>
                <c:pt idx="7">
                  <c:v>1</c:v>
                </c:pt>
              </c:numCache>
            </c:numRef>
          </c:val>
          <c:extLst>
            <c:ext xmlns:c16="http://schemas.microsoft.com/office/drawing/2014/chart" uri="{C3380CC4-5D6E-409C-BE32-E72D297353CC}">
              <c16:uniqueId val="{00000000-99FD-4062-976B-C03515B93332}"/>
            </c:ext>
          </c:extLst>
        </c:ser>
        <c:dLbls>
          <c:showLegendKey val="0"/>
          <c:showVal val="0"/>
          <c:showCatName val="0"/>
          <c:showSerName val="0"/>
          <c:showPercent val="0"/>
          <c:showBubbleSize val="0"/>
        </c:dLbls>
        <c:gapWidth val="219"/>
        <c:overlap val="-27"/>
        <c:axId val="1320888896"/>
        <c:axId val="832623823"/>
      </c:barChart>
      <c:catAx>
        <c:axId val="132088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832623823"/>
        <c:crosses val="autoZero"/>
        <c:auto val="1"/>
        <c:lblAlgn val="ctr"/>
        <c:lblOffset val="100"/>
        <c:noMultiLvlLbl val="0"/>
      </c:catAx>
      <c:valAx>
        <c:axId val="83262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32088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innerShdw blurRad="63500" dist="50800" dir="13500000">
        <a:prstClr val="black">
          <a:alpha val="50000"/>
        </a:prstClr>
      </a:innerShdw>
      <a:softEdge rad="63500"/>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[HR_Analytics.xlsx]HR ANALYSIS!PivotTable12</c:name>
    <c:fmtId val="4"/>
  </c:pivotSource>
  <c:chart>
    <c:title>
      <c:tx>
        <c:rich>
          <a:bodyPr rot="0" spcFirstLastPara="1" vertOverflow="ellipsis" vert="horz" wrap="square" anchor="ctr" anchorCtr="1"/>
          <a:lstStyle/>
          <a:p>
            <a:pPr>
              <a:defRPr sz="2000" b="0" i="0" u="none" strike="noStrike" kern="1200" cap="none" spc="0" normalizeH="0" baseline="0">
                <a:solidFill>
                  <a:schemeClr val="accent6"/>
                </a:solidFill>
                <a:latin typeface="+mj-lt"/>
                <a:ea typeface="+mj-ea"/>
                <a:cs typeface="+mj-cs"/>
              </a:defRPr>
            </a:pPr>
            <a:r>
              <a:rPr lang="en-IN"/>
              <a:t>HIRING TREND BY YEAR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6"/>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'HR ANALYSIS'!$G$22</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round/>
              </a:ln>
              <a:effectLst/>
            </c:spPr>
            <c:trendlineType val="linear"/>
            <c:dispRSqr val="0"/>
            <c:dispEq val="0"/>
          </c:trendline>
          <c:cat>
            <c:strRef>
              <c:f>'HR ANALYSIS'!$F$23:$F$31</c:f>
              <c:strCache>
                <c:ptCount val="8"/>
                <c:pt idx="0">
                  <c:v>2019</c:v>
                </c:pt>
                <c:pt idx="1">
                  <c:v>2020</c:v>
                </c:pt>
                <c:pt idx="2">
                  <c:v>2021</c:v>
                </c:pt>
                <c:pt idx="3">
                  <c:v>2022</c:v>
                </c:pt>
                <c:pt idx="4">
                  <c:v>2023</c:v>
                </c:pt>
                <c:pt idx="5">
                  <c:v>2024</c:v>
                </c:pt>
                <c:pt idx="6">
                  <c:v>2025</c:v>
                </c:pt>
                <c:pt idx="7">
                  <c:v>2026</c:v>
                </c:pt>
              </c:strCache>
            </c:strRef>
          </c:cat>
          <c:val>
            <c:numRef>
              <c:f>'HR ANALYSIS'!$G$23:$G$31</c:f>
              <c:numCache>
                <c:formatCode>General</c:formatCode>
                <c:ptCount val="8"/>
                <c:pt idx="0">
                  <c:v>124</c:v>
                </c:pt>
                <c:pt idx="1">
                  <c:v>148</c:v>
                </c:pt>
                <c:pt idx="2">
                  <c:v>131</c:v>
                </c:pt>
                <c:pt idx="3">
                  <c:v>126</c:v>
                </c:pt>
                <c:pt idx="4">
                  <c:v>137</c:v>
                </c:pt>
                <c:pt idx="5">
                  <c:v>117</c:v>
                </c:pt>
                <c:pt idx="6">
                  <c:v>133</c:v>
                </c:pt>
                <c:pt idx="7">
                  <c:v>84</c:v>
                </c:pt>
              </c:numCache>
            </c:numRef>
          </c:val>
          <c:smooth val="0"/>
          <c:extLst>
            <c:ext xmlns:c16="http://schemas.microsoft.com/office/drawing/2014/chart" uri="{C3380CC4-5D6E-409C-BE32-E72D297353CC}">
              <c16:uniqueId val="{00000000-2AD0-45F3-BC63-65A9EB2E91C4}"/>
            </c:ext>
          </c:extLst>
        </c:ser>
        <c:dLbls>
          <c:dLblPos val="t"/>
          <c:showLegendKey val="0"/>
          <c:showVal val="1"/>
          <c:showCatName val="0"/>
          <c:showSerName val="0"/>
          <c:showPercent val="0"/>
          <c:showBubbleSize val="0"/>
        </c:dLbls>
        <c:marker val="1"/>
        <c:smooth val="0"/>
        <c:axId val="1127498144"/>
        <c:axId val="1274493328"/>
      </c:lineChart>
      <c:catAx>
        <c:axId val="112749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6"/>
                </a:solidFill>
                <a:latin typeface="+mn-lt"/>
                <a:ea typeface="+mn-ea"/>
                <a:cs typeface="+mn-cs"/>
              </a:defRPr>
            </a:pPr>
            <a:endParaRPr lang="en-US"/>
          </a:p>
        </c:txPr>
        <c:crossAx val="1274493328"/>
        <c:crosses val="autoZero"/>
        <c:auto val="1"/>
        <c:lblAlgn val="ctr"/>
        <c:lblOffset val="100"/>
        <c:noMultiLvlLbl val="0"/>
      </c:catAx>
      <c:valAx>
        <c:axId val="12744933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49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solidFill>
      <a:round/>
    </a:ln>
    <a:effectLst>
      <a:innerShdw blurRad="114300">
        <a:schemeClr val="accent6"/>
      </a:innerShdw>
      <a:softEdge rad="76200"/>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20</xdr:col>
      <xdr:colOff>182880</xdr:colOff>
      <xdr:row>2</xdr:row>
      <xdr:rowOff>68580</xdr:rowOff>
    </xdr:to>
    <xdr:sp macro="" textlink="">
      <xdr:nvSpPr>
        <xdr:cNvPr id="2" name="Rectangle 1">
          <a:extLst>
            <a:ext uri="{FF2B5EF4-FFF2-40B4-BE49-F238E27FC236}">
              <a16:creationId xmlns:a16="http://schemas.microsoft.com/office/drawing/2014/main" id="{2E7E568C-1280-AB17-20FF-711F856D500C}"/>
            </a:ext>
          </a:extLst>
        </xdr:cNvPr>
        <xdr:cNvSpPr/>
      </xdr:nvSpPr>
      <xdr:spPr>
        <a:xfrm>
          <a:off x="15240" y="15240"/>
          <a:ext cx="14119860" cy="419100"/>
        </a:xfrm>
        <a:prstGeom prst="rect">
          <a:avLst/>
        </a:prstGeom>
        <a:ln/>
        <a:effectLst>
          <a:outerShdw blurRad="40000" dist="20000" dir="5400000" rotWithShape="0">
            <a:srgbClr val="000000">
              <a:alpha val="38000"/>
            </a:srgb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800"/>
        </a:p>
      </xdr:txBody>
    </xdr:sp>
    <xdr:clientData/>
  </xdr:twoCellAnchor>
  <xdr:twoCellAnchor editAs="oneCell">
    <xdr:from>
      <xdr:col>0</xdr:col>
      <xdr:colOff>236220</xdr:colOff>
      <xdr:row>0</xdr:row>
      <xdr:rowOff>0</xdr:rowOff>
    </xdr:from>
    <xdr:to>
      <xdr:col>0</xdr:col>
      <xdr:colOff>822960</xdr:colOff>
      <xdr:row>2</xdr:row>
      <xdr:rowOff>68580</xdr:rowOff>
    </xdr:to>
    <xdr:pic>
      <xdr:nvPicPr>
        <xdr:cNvPr id="3" name="Picture 2" descr="Teamwork ">
          <a:extLst>
            <a:ext uri="{FF2B5EF4-FFF2-40B4-BE49-F238E27FC236}">
              <a16:creationId xmlns:a16="http://schemas.microsoft.com/office/drawing/2014/main" id="{18ADF1F6-F0C2-9E48-3D59-24B26A7E32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 y="0"/>
          <a:ext cx="58674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121920</xdr:colOff>
      <xdr:row>0</xdr:row>
      <xdr:rowOff>0</xdr:rowOff>
    </xdr:from>
    <xdr:to>
      <xdr:col>12</xdr:col>
      <xdr:colOff>320040</xdr:colOff>
      <xdr:row>2</xdr:row>
      <xdr:rowOff>68580</xdr:rowOff>
    </xdr:to>
    <xdr:sp macro="" textlink="">
      <xdr:nvSpPr>
        <xdr:cNvPr id="4" name="TextBox 3">
          <a:extLst>
            <a:ext uri="{FF2B5EF4-FFF2-40B4-BE49-F238E27FC236}">
              <a16:creationId xmlns:a16="http://schemas.microsoft.com/office/drawing/2014/main" id="{350F84B3-B062-C11C-70EA-F0A9991D1B6E}"/>
            </a:ext>
          </a:extLst>
        </xdr:cNvPr>
        <xdr:cNvSpPr txBox="1"/>
      </xdr:nvSpPr>
      <xdr:spPr>
        <a:xfrm>
          <a:off x="4320540" y="0"/>
          <a:ext cx="50749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tx1"/>
              </a:solidFill>
              <a:effectLst/>
              <a:latin typeface="+mn-lt"/>
              <a:ea typeface="+mn-ea"/>
              <a:cs typeface="+mn-cs"/>
            </a:rPr>
            <a:t>HR ANALYTICS DASHBOARD</a:t>
          </a:r>
          <a:endParaRPr lang="en-IN" sz="2800" b="1">
            <a:solidFill>
              <a:schemeClr val="tx1"/>
            </a:solidFill>
            <a:effectLst/>
          </a:endParaRPr>
        </a:p>
      </xdr:txBody>
    </xdr:sp>
    <xdr:clientData/>
  </xdr:twoCellAnchor>
  <xdr:twoCellAnchor>
    <xdr:from>
      <xdr:col>0</xdr:col>
      <xdr:colOff>7620</xdr:colOff>
      <xdr:row>2</xdr:row>
      <xdr:rowOff>83820</xdr:rowOff>
    </xdr:from>
    <xdr:to>
      <xdr:col>1</xdr:col>
      <xdr:colOff>76200</xdr:colOff>
      <xdr:row>27</xdr:row>
      <xdr:rowOff>68580</xdr:rowOff>
    </xdr:to>
    <xdr:sp macro="" textlink="">
      <xdr:nvSpPr>
        <xdr:cNvPr id="5" name="Rectangle 4">
          <a:extLst>
            <a:ext uri="{FF2B5EF4-FFF2-40B4-BE49-F238E27FC236}">
              <a16:creationId xmlns:a16="http://schemas.microsoft.com/office/drawing/2014/main" id="{7A7D1D35-B4A2-C8CC-F240-59BC9A1A5858}"/>
            </a:ext>
          </a:extLst>
        </xdr:cNvPr>
        <xdr:cNvSpPr/>
      </xdr:nvSpPr>
      <xdr:spPr>
        <a:xfrm>
          <a:off x="7620" y="449580"/>
          <a:ext cx="1577340" cy="4556760"/>
        </a:xfrm>
        <a:prstGeom prst="rect">
          <a:avLst/>
        </a:prstGeom>
        <a:solidFill>
          <a:schemeClr val="bg1"/>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2</xdr:row>
      <xdr:rowOff>152400</xdr:rowOff>
    </xdr:from>
    <xdr:to>
      <xdr:col>1</xdr:col>
      <xdr:colOff>45720</xdr:colOff>
      <xdr:row>6</xdr:row>
      <xdr:rowOff>106680</xdr:rowOff>
    </xdr:to>
    <xdr:sp macro="" textlink="'HR ANALYSIS'!A6">
      <xdr:nvSpPr>
        <xdr:cNvPr id="6" name="Rectangle: Rounded Corners 5">
          <a:extLst>
            <a:ext uri="{FF2B5EF4-FFF2-40B4-BE49-F238E27FC236}">
              <a16:creationId xmlns:a16="http://schemas.microsoft.com/office/drawing/2014/main" id="{95B9FDD7-32E7-33DF-0E53-D93F2D943423}"/>
            </a:ext>
          </a:extLst>
        </xdr:cNvPr>
        <xdr:cNvSpPr/>
      </xdr:nvSpPr>
      <xdr:spPr>
        <a:xfrm>
          <a:off x="15240" y="518160"/>
          <a:ext cx="1539240" cy="685800"/>
        </a:xfrm>
        <a:prstGeom prst="roundRect">
          <a:avLst/>
        </a:prstGeom>
        <a:solidFill>
          <a:schemeClr val="accent6">
            <a:lumMod val="20000"/>
            <a:lumOff val="80000"/>
          </a:schemeClr>
        </a:solidFill>
        <a:ln w="1270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79AE9C5-2E4E-4A31-8433-437A82CF852E}" type="TxLink">
            <a:rPr lang="en-US" sz="2400" b="0" i="0" u="none" strike="noStrike">
              <a:solidFill>
                <a:srgbClr val="000000"/>
              </a:solidFill>
              <a:latin typeface="Calibri"/>
              <a:ea typeface="Calibri"/>
              <a:cs typeface="Calibri"/>
            </a:rPr>
            <a:pPr algn="ctr"/>
            <a:t>1000</a:t>
          </a:fld>
          <a:endParaRPr lang="en-IN" sz="2400" b="1">
            <a:solidFill>
              <a:schemeClr val="tx1"/>
            </a:solidFill>
          </a:endParaRPr>
        </a:p>
      </xdr:txBody>
    </xdr:sp>
    <xdr:clientData/>
  </xdr:twoCellAnchor>
  <xdr:twoCellAnchor>
    <xdr:from>
      <xdr:col>0</xdr:col>
      <xdr:colOff>15240</xdr:colOff>
      <xdr:row>7</xdr:row>
      <xdr:rowOff>7620</xdr:rowOff>
    </xdr:from>
    <xdr:to>
      <xdr:col>1</xdr:col>
      <xdr:colOff>45720</xdr:colOff>
      <xdr:row>10</xdr:row>
      <xdr:rowOff>144780</xdr:rowOff>
    </xdr:to>
    <xdr:sp macro="" textlink="'HR ANALYSIS'!B6">
      <xdr:nvSpPr>
        <xdr:cNvPr id="16" name="Rectangle: Rounded Corners 15">
          <a:extLst>
            <a:ext uri="{FF2B5EF4-FFF2-40B4-BE49-F238E27FC236}">
              <a16:creationId xmlns:a16="http://schemas.microsoft.com/office/drawing/2014/main" id="{F9A7E3C3-0AB6-460A-A08E-FFD6084A4511}"/>
            </a:ext>
          </a:extLst>
        </xdr:cNvPr>
        <xdr:cNvSpPr/>
      </xdr:nvSpPr>
      <xdr:spPr>
        <a:xfrm>
          <a:off x="15240" y="1287780"/>
          <a:ext cx="1539240" cy="68580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75DB736-BAD0-4439-A412-6132913432B5}" type="TxLink">
            <a:rPr lang="en-US" sz="2400" b="0" i="0" u="none" strike="noStrike">
              <a:solidFill>
                <a:srgbClr val="000000"/>
              </a:solidFill>
              <a:latin typeface="Calibri"/>
              <a:ea typeface="Calibri"/>
              <a:cs typeface="Calibri"/>
            </a:rPr>
            <a:pPr algn="ctr"/>
            <a:t>615</a:t>
          </a:fld>
          <a:endParaRPr lang="en-IN" sz="2400"/>
        </a:p>
      </xdr:txBody>
    </xdr:sp>
    <xdr:clientData/>
  </xdr:twoCellAnchor>
  <xdr:twoCellAnchor>
    <xdr:from>
      <xdr:col>0</xdr:col>
      <xdr:colOff>15240</xdr:colOff>
      <xdr:row>11</xdr:row>
      <xdr:rowOff>38100</xdr:rowOff>
    </xdr:from>
    <xdr:to>
      <xdr:col>1</xdr:col>
      <xdr:colOff>45720</xdr:colOff>
      <xdr:row>14</xdr:row>
      <xdr:rowOff>175260</xdr:rowOff>
    </xdr:to>
    <xdr:sp macro="" textlink="'HR ANALYSIS'!D6">
      <xdr:nvSpPr>
        <xdr:cNvPr id="17" name="Rectangle: Rounded Corners 16">
          <a:extLst>
            <a:ext uri="{FF2B5EF4-FFF2-40B4-BE49-F238E27FC236}">
              <a16:creationId xmlns:a16="http://schemas.microsoft.com/office/drawing/2014/main" id="{574E3FB4-F569-4717-B558-6188DFF7280A}"/>
            </a:ext>
          </a:extLst>
        </xdr:cNvPr>
        <xdr:cNvSpPr/>
      </xdr:nvSpPr>
      <xdr:spPr>
        <a:xfrm>
          <a:off x="15240" y="2049780"/>
          <a:ext cx="1539240" cy="685800"/>
        </a:xfrm>
        <a:prstGeom prst="roundRect">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96286E-8C9C-47CE-989A-5F75EB9C087B}" type="TxLink">
            <a:rPr lang="en-US" sz="2400" b="0" i="0" u="none" strike="noStrike">
              <a:solidFill>
                <a:srgbClr val="000000"/>
              </a:solidFill>
              <a:latin typeface="Calibri"/>
              <a:ea typeface="Calibri"/>
              <a:cs typeface="Calibri"/>
            </a:rPr>
            <a:pPr algn="ctr"/>
            <a:t>195</a:t>
          </a:fld>
          <a:endParaRPr lang="en-IN" sz="2400"/>
        </a:p>
      </xdr:txBody>
    </xdr:sp>
    <xdr:clientData/>
  </xdr:twoCellAnchor>
  <xdr:twoCellAnchor>
    <xdr:from>
      <xdr:col>0</xdr:col>
      <xdr:colOff>15240</xdr:colOff>
      <xdr:row>15</xdr:row>
      <xdr:rowOff>60960</xdr:rowOff>
    </xdr:from>
    <xdr:to>
      <xdr:col>1</xdr:col>
      <xdr:colOff>45720</xdr:colOff>
      <xdr:row>19</xdr:row>
      <xdr:rowOff>15240</xdr:rowOff>
    </xdr:to>
    <xdr:sp macro="" textlink="'HR ANALYSIS'!F6">
      <xdr:nvSpPr>
        <xdr:cNvPr id="18" name="Rectangle: Rounded Corners 17">
          <a:extLst>
            <a:ext uri="{FF2B5EF4-FFF2-40B4-BE49-F238E27FC236}">
              <a16:creationId xmlns:a16="http://schemas.microsoft.com/office/drawing/2014/main" id="{D5B7844C-31F7-43CA-B759-4FF7C9503189}"/>
            </a:ext>
          </a:extLst>
        </xdr:cNvPr>
        <xdr:cNvSpPr/>
      </xdr:nvSpPr>
      <xdr:spPr>
        <a:xfrm>
          <a:off x="15240" y="2804160"/>
          <a:ext cx="1539240" cy="685800"/>
        </a:xfrm>
        <a:prstGeom prst="roundRect">
          <a:avLst/>
        </a:prstGeom>
        <a:solidFill>
          <a:schemeClr val="accent3">
            <a:lumMod val="20000"/>
            <a:lumOff val="8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98A02A-B879-496D-8711-631027FF6318}" type="TxLink">
            <a:rPr lang="en-US" sz="2400" b="0" i="0" u="none" strike="noStrike">
              <a:solidFill>
                <a:srgbClr val="000000"/>
              </a:solidFill>
              <a:latin typeface="Calibri"/>
              <a:ea typeface="Calibri"/>
              <a:cs typeface="Calibri"/>
            </a:rPr>
            <a:pPr algn="ctr"/>
            <a:t>20%</a:t>
          </a:fld>
          <a:endParaRPr lang="en-IN" sz="2400"/>
        </a:p>
      </xdr:txBody>
    </xdr:sp>
    <xdr:clientData/>
  </xdr:twoCellAnchor>
  <xdr:twoCellAnchor>
    <xdr:from>
      <xdr:col>0</xdr:col>
      <xdr:colOff>15240</xdr:colOff>
      <xdr:row>19</xdr:row>
      <xdr:rowOff>76200</xdr:rowOff>
    </xdr:from>
    <xdr:to>
      <xdr:col>1</xdr:col>
      <xdr:colOff>45720</xdr:colOff>
      <xdr:row>23</xdr:row>
      <xdr:rowOff>30480</xdr:rowOff>
    </xdr:to>
    <xdr:sp macro="" textlink="'HR ANALYSIS'!G6">
      <xdr:nvSpPr>
        <xdr:cNvPr id="19" name="Rectangle: Rounded Corners 18">
          <a:extLst>
            <a:ext uri="{FF2B5EF4-FFF2-40B4-BE49-F238E27FC236}">
              <a16:creationId xmlns:a16="http://schemas.microsoft.com/office/drawing/2014/main" id="{601C4074-C425-413B-8CEA-EB838141292F}"/>
            </a:ext>
          </a:extLst>
        </xdr:cNvPr>
        <xdr:cNvSpPr/>
      </xdr:nvSpPr>
      <xdr:spPr>
        <a:xfrm>
          <a:off x="15240" y="3550920"/>
          <a:ext cx="1539240" cy="685800"/>
        </a:xfrm>
        <a:prstGeom prst="roundRect">
          <a:avLst/>
        </a:prstGeom>
        <a:solidFill>
          <a:schemeClr val="accent2">
            <a:lumMod val="20000"/>
            <a:lumOff val="8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5B9EACC-1956-45AC-B188-C711333B429A}" type="TxLink">
            <a:rPr lang="en-US" sz="2400" b="0" i="0" u="none" strike="noStrike">
              <a:solidFill>
                <a:srgbClr val="000000"/>
              </a:solidFill>
              <a:latin typeface="Calibri"/>
              <a:ea typeface="Calibri"/>
              <a:cs typeface="Calibri"/>
            </a:rPr>
            <a:pPr algn="ctr"/>
            <a:t>₹ 75,002</a:t>
          </a:fld>
          <a:endParaRPr lang="en-IN" sz="2400"/>
        </a:p>
      </xdr:txBody>
    </xdr:sp>
    <xdr:clientData/>
  </xdr:twoCellAnchor>
  <xdr:twoCellAnchor>
    <xdr:from>
      <xdr:col>0</xdr:col>
      <xdr:colOff>15240</xdr:colOff>
      <xdr:row>23</xdr:row>
      <xdr:rowOff>106680</xdr:rowOff>
    </xdr:from>
    <xdr:to>
      <xdr:col>1</xdr:col>
      <xdr:colOff>45720</xdr:colOff>
      <xdr:row>27</xdr:row>
      <xdr:rowOff>60960</xdr:rowOff>
    </xdr:to>
    <xdr:sp macro="" textlink="'HR ANALYSIS'!H6">
      <xdr:nvSpPr>
        <xdr:cNvPr id="20" name="Rectangle: Rounded Corners 19">
          <a:extLst>
            <a:ext uri="{FF2B5EF4-FFF2-40B4-BE49-F238E27FC236}">
              <a16:creationId xmlns:a16="http://schemas.microsoft.com/office/drawing/2014/main" id="{C1C2AADF-E7A7-4103-90B9-58C93928887C}"/>
            </a:ext>
          </a:extLst>
        </xdr:cNvPr>
        <xdr:cNvSpPr/>
      </xdr:nvSpPr>
      <xdr:spPr>
        <a:xfrm>
          <a:off x="15240" y="4312920"/>
          <a:ext cx="1539240" cy="685800"/>
        </a:xfrm>
        <a:prstGeom prst="roundRect">
          <a:avLst/>
        </a:prstGeom>
        <a:solidFill>
          <a:schemeClr val="accent1">
            <a:lumMod val="20000"/>
            <a:lumOff val="8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65D14BF-150E-4679-AB77-0F1420FB2825}" type="TxLink">
            <a:rPr lang="en-US" sz="2400" b="0" i="0" u="none" strike="noStrike">
              <a:solidFill>
                <a:srgbClr val="000000"/>
              </a:solidFill>
              <a:latin typeface="Calibri"/>
              <a:ea typeface="Calibri"/>
              <a:cs typeface="Calibri"/>
            </a:rPr>
            <a:pPr algn="ctr"/>
            <a:t>31.8</a:t>
          </a:fld>
          <a:endParaRPr lang="en-IN" sz="2400"/>
        </a:p>
      </xdr:txBody>
    </xdr:sp>
    <xdr:clientData/>
  </xdr:twoCellAnchor>
  <xdr:twoCellAnchor editAs="oneCell">
    <xdr:from>
      <xdr:col>0</xdr:col>
      <xdr:colOff>68580</xdr:colOff>
      <xdr:row>4</xdr:row>
      <xdr:rowOff>60960</xdr:rowOff>
    </xdr:from>
    <xdr:to>
      <xdr:col>0</xdr:col>
      <xdr:colOff>396240</xdr:colOff>
      <xdr:row>6</xdr:row>
      <xdr:rowOff>30480</xdr:rowOff>
    </xdr:to>
    <xdr:pic>
      <xdr:nvPicPr>
        <xdr:cNvPr id="21" name="Picture 20" descr="Employee ">
          <a:extLst>
            <a:ext uri="{FF2B5EF4-FFF2-40B4-BE49-F238E27FC236}">
              <a16:creationId xmlns:a16="http://schemas.microsoft.com/office/drawing/2014/main" id="{C681ECC5-E6D9-B4B8-E858-2A4D419EC1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80" y="792480"/>
          <a:ext cx="32766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121920</xdr:colOff>
      <xdr:row>3</xdr:row>
      <xdr:rowOff>0</xdr:rowOff>
    </xdr:from>
    <xdr:to>
      <xdr:col>0</xdr:col>
      <xdr:colOff>1463040</xdr:colOff>
      <xdr:row>4</xdr:row>
      <xdr:rowOff>38100</xdr:rowOff>
    </xdr:to>
    <xdr:sp macro="" textlink="">
      <xdr:nvSpPr>
        <xdr:cNvPr id="23" name="TextBox 22">
          <a:extLst>
            <a:ext uri="{FF2B5EF4-FFF2-40B4-BE49-F238E27FC236}">
              <a16:creationId xmlns:a16="http://schemas.microsoft.com/office/drawing/2014/main" id="{BA01C785-A22C-6339-B511-9981C59C50A6}"/>
            </a:ext>
          </a:extLst>
        </xdr:cNvPr>
        <xdr:cNvSpPr txBox="1"/>
      </xdr:nvSpPr>
      <xdr:spPr>
        <a:xfrm>
          <a:off x="121920" y="548640"/>
          <a:ext cx="1341120" cy="220980"/>
        </a:xfrm>
        <a:prstGeom prst="rect">
          <a:avLst/>
        </a:prstGeom>
        <a:solidFill>
          <a:schemeClr val="accent6">
            <a:lumMod val="20000"/>
            <a:lumOff val="80000"/>
          </a:schemeClr>
        </a:solidFill>
        <a:ln w="9525" cmpd="sng">
          <a:solidFill>
            <a:schemeClr val="accent6">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EMPLOYEES</a:t>
          </a:r>
        </a:p>
      </xdr:txBody>
    </xdr:sp>
    <xdr:clientData/>
  </xdr:twoCellAnchor>
  <xdr:twoCellAnchor editAs="oneCell">
    <xdr:from>
      <xdr:col>0</xdr:col>
      <xdr:colOff>83820</xdr:colOff>
      <xdr:row>8</xdr:row>
      <xdr:rowOff>137160</xdr:rowOff>
    </xdr:from>
    <xdr:to>
      <xdr:col>0</xdr:col>
      <xdr:colOff>365760</xdr:colOff>
      <xdr:row>10</xdr:row>
      <xdr:rowOff>53340</xdr:rowOff>
    </xdr:to>
    <xdr:pic>
      <xdr:nvPicPr>
        <xdr:cNvPr id="24" name="Picture 23" descr="Employee ">
          <a:extLst>
            <a:ext uri="{FF2B5EF4-FFF2-40B4-BE49-F238E27FC236}">
              <a16:creationId xmlns:a16="http://schemas.microsoft.com/office/drawing/2014/main" id="{4B6A7756-BF3B-19AF-3F67-CC238D53F6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820" y="1600200"/>
          <a:ext cx="28194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99060</xdr:colOff>
      <xdr:row>7</xdr:row>
      <xdr:rowOff>45720</xdr:rowOff>
    </xdr:from>
    <xdr:to>
      <xdr:col>0</xdr:col>
      <xdr:colOff>1463040</xdr:colOff>
      <xdr:row>8</xdr:row>
      <xdr:rowOff>68580</xdr:rowOff>
    </xdr:to>
    <xdr:sp macro="" textlink="">
      <xdr:nvSpPr>
        <xdr:cNvPr id="25" name="TextBox 24">
          <a:extLst>
            <a:ext uri="{FF2B5EF4-FFF2-40B4-BE49-F238E27FC236}">
              <a16:creationId xmlns:a16="http://schemas.microsoft.com/office/drawing/2014/main" id="{9C8C8131-21CB-E468-EE8B-33ED799C0482}"/>
            </a:ext>
          </a:extLst>
        </xdr:cNvPr>
        <xdr:cNvSpPr txBox="1"/>
      </xdr:nvSpPr>
      <xdr:spPr>
        <a:xfrm>
          <a:off x="99060" y="1325880"/>
          <a:ext cx="1363980" cy="205740"/>
        </a:xfrm>
        <a:prstGeom prst="rect">
          <a:avLst/>
        </a:prstGeom>
        <a:solidFill>
          <a:schemeClr val="accent5">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ACTIVE EMPLOYEES</a:t>
          </a:r>
        </a:p>
      </xdr:txBody>
    </xdr:sp>
    <xdr:clientData/>
  </xdr:twoCellAnchor>
  <xdr:twoCellAnchor editAs="oneCell">
    <xdr:from>
      <xdr:col>0</xdr:col>
      <xdr:colOff>114300</xdr:colOff>
      <xdr:row>13</xdr:row>
      <xdr:rowOff>7620</xdr:rowOff>
    </xdr:from>
    <xdr:to>
      <xdr:col>0</xdr:col>
      <xdr:colOff>403860</xdr:colOff>
      <xdr:row>14</xdr:row>
      <xdr:rowOff>114300</xdr:rowOff>
    </xdr:to>
    <xdr:pic>
      <xdr:nvPicPr>
        <xdr:cNvPr id="26" name="Picture 25" descr="Employee">
          <a:extLst>
            <a:ext uri="{FF2B5EF4-FFF2-40B4-BE49-F238E27FC236}">
              <a16:creationId xmlns:a16="http://schemas.microsoft.com/office/drawing/2014/main" id="{C9BAC66E-EE16-3E51-B311-DE6C5F08F2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4300" y="238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182880</xdr:colOff>
      <xdr:row>11</xdr:row>
      <xdr:rowOff>76200</xdr:rowOff>
    </xdr:from>
    <xdr:to>
      <xdr:col>0</xdr:col>
      <xdr:colOff>1470660</xdr:colOff>
      <xdr:row>12</xdr:row>
      <xdr:rowOff>106680</xdr:rowOff>
    </xdr:to>
    <xdr:sp macro="" textlink="">
      <xdr:nvSpPr>
        <xdr:cNvPr id="27" name="TextBox 26">
          <a:extLst>
            <a:ext uri="{FF2B5EF4-FFF2-40B4-BE49-F238E27FC236}">
              <a16:creationId xmlns:a16="http://schemas.microsoft.com/office/drawing/2014/main" id="{5A7A85DC-79B7-46EF-F44E-587594E51145}"/>
            </a:ext>
          </a:extLst>
        </xdr:cNvPr>
        <xdr:cNvSpPr txBox="1"/>
      </xdr:nvSpPr>
      <xdr:spPr>
        <a:xfrm>
          <a:off x="182880" y="2087880"/>
          <a:ext cx="1287780" cy="213360"/>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 COUNT</a:t>
          </a:r>
        </a:p>
      </xdr:txBody>
    </xdr:sp>
    <xdr:clientData/>
  </xdr:twoCellAnchor>
  <xdr:twoCellAnchor editAs="oneCell">
    <xdr:from>
      <xdr:col>0</xdr:col>
      <xdr:colOff>91440</xdr:colOff>
      <xdr:row>16</xdr:row>
      <xdr:rowOff>152400</xdr:rowOff>
    </xdr:from>
    <xdr:to>
      <xdr:col>0</xdr:col>
      <xdr:colOff>419100</xdr:colOff>
      <xdr:row>18</xdr:row>
      <xdr:rowOff>114300</xdr:rowOff>
    </xdr:to>
    <xdr:pic>
      <xdr:nvPicPr>
        <xdr:cNvPr id="29" name="Graphic 28" descr="Bar graph with downward trend with solid fill">
          <a:extLst>
            <a:ext uri="{FF2B5EF4-FFF2-40B4-BE49-F238E27FC236}">
              <a16:creationId xmlns:a16="http://schemas.microsoft.com/office/drawing/2014/main" id="{C8D25C4D-2734-9324-C5AD-6D9F7ADA66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440" y="3078480"/>
          <a:ext cx="327660" cy="327660"/>
        </a:xfrm>
        <a:prstGeom prst="rect">
          <a:avLst/>
        </a:prstGeom>
      </xdr:spPr>
    </xdr:pic>
    <xdr:clientData/>
  </xdr:twoCellAnchor>
  <xdr:twoCellAnchor>
    <xdr:from>
      <xdr:col>0</xdr:col>
      <xdr:colOff>228600</xdr:colOff>
      <xdr:row>15</xdr:row>
      <xdr:rowOff>76200</xdr:rowOff>
    </xdr:from>
    <xdr:to>
      <xdr:col>0</xdr:col>
      <xdr:colOff>1478280</xdr:colOff>
      <xdr:row>16</xdr:row>
      <xdr:rowOff>83820</xdr:rowOff>
    </xdr:to>
    <xdr:sp macro="" textlink="">
      <xdr:nvSpPr>
        <xdr:cNvPr id="30" name="TextBox 29">
          <a:extLst>
            <a:ext uri="{FF2B5EF4-FFF2-40B4-BE49-F238E27FC236}">
              <a16:creationId xmlns:a16="http://schemas.microsoft.com/office/drawing/2014/main" id="{0DF3DCD3-2F67-8EF0-03C3-D27C48813B3A}"/>
            </a:ext>
          </a:extLst>
        </xdr:cNvPr>
        <xdr:cNvSpPr txBox="1"/>
      </xdr:nvSpPr>
      <xdr:spPr>
        <a:xfrm>
          <a:off x="228600" y="2819400"/>
          <a:ext cx="1249680" cy="190500"/>
        </a:xfrm>
        <a:prstGeom prst="rect">
          <a:avLst/>
        </a:prstGeom>
        <a:solidFill>
          <a:schemeClr val="accent3">
            <a:lumMod val="20000"/>
            <a:lumOff val="80000"/>
          </a:schemeClr>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 RATE</a:t>
          </a:r>
        </a:p>
      </xdr:txBody>
    </xdr:sp>
    <xdr:clientData/>
  </xdr:twoCellAnchor>
  <xdr:twoCellAnchor editAs="oneCell">
    <xdr:from>
      <xdr:col>0</xdr:col>
      <xdr:colOff>91440</xdr:colOff>
      <xdr:row>20</xdr:row>
      <xdr:rowOff>175260</xdr:rowOff>
    </xdr:from>
    <xdr:to>
      <xdr:col>0</xdr:col>
      <xdr:colOff>419100</xdr:colOff>
      <xdr:row>22</xdr:row>
      <xdr:rowOff>137160</xdr:rowOff>
    </xdr:to>
    <xdr:pic>
      <xdr:nvPicPr>
        <xdr:cNvPr id="31" name="Picture 30" descr="Wages ">
          <a:extLst>
            <a:ext uri="{FF2B5EF4-FFF2-40B4-BE49-F238E27FC236}">
              <a16:creationId xmlns:a16="http://schemas.microsoft.com/office/drawing/2014/main" id="{2778AC60-D9DC-0B0A-78F6-C4124911ACD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1440" y="3832860"/>
          <a:ext cx="32766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213360</xdr:colOff>
      <xdr:row>19</xdr:row>
      <xdr:rowOff>99060</xdr:rowOff>
    </xdr:from>
    <xdr:to>
      <xdr:col>0</xdr:col>
      <xdr:colOff>1447800</xdr:colOff>
      <xdr:row>20</xdr:row>
      <xdr:rowOff>121920</xdr:rowOff>
    </xdr:to>
    <xdr:sp macro="" textlink="">
      <xdr:nvSpPr>
        <xdr:cNvPr id="32" name="TextBox 31">
          <a:extLst>
            <a:ext uri="{FF2B5EF4-FFF2-40B4-BE49-F238E27FC236}">
              <a16:creationId xmlns:a16="http://schemas.microsoft.com/office/drawing/2014/main" id="{3E3E7263-13FE-D96A-006E-9540C26C6DEE}"/>
            </a:ext>
          </a:extLst>
        </xdr:cNvPr>
        <xdr:cNvSpPr txBox="1"/>
      </xdr:nvSpPr>
      <xdr:spPr>
        <a:xfrm>
          <a:off x="213360" y="3573780"/>
          <a:ext cx="1234440" cy="205740"/>
        </a:xfrm>
        <a:prstGeom prst="rect">
          <a:avLst/>
        </a:prstGeom>
        <a:solidFill>
          <a:schemeClr val="accent2">
            <a:lumMod val="20000"/>
            <a:lumOff val="80000"/>
          </a:schemeClr>
        </a:solidFill>
        <a:ln w="9525" cmpd="sng">
          <a:solidFill>
            <a:schemeClr val="accent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SALARY</a:t>
          </a:r>
        </a:p>
      </xdr:txBody>
    </xdr:sp>
    <xdr:clientData/>
  </xdr:twoCellAnchor>
  <xdr:twoCellAnchor editAs="oneCell">
    <xdr:from>
      <xdr:col>0</xdr:col>
      <xdr:colOff>106680</xdr:colOff>
      <xdr:row>25</xdr:row>
      <xdr:rowOff>45720</xdr:rowOff>
    </xdr:from>
    <xdr:to>
      <xdr:col>0</xdr:col>
      <xdr:colOff>403860</xdr:colOff>
      <xdr:row>26</xdr:row>
      <xdr:rowOff>160020</xdr:rowOff>
    </xdr:to>
    <xdr:pic>
      <xdr:nvPicPr>
        <xdr:cNvPr id="33" name="Picture 32" descr="Age ">
          <a:extLst>
            <a:ext uri="{FF2B5EF4-FFF2-40B4-BE49-F238E27FC236}">
              <a16:creationId xmlns:a16="http://schemas.microsoft.com/office/drawing/2014/main" id="{83F17682-86A3-D4F4-F086-62437A804D5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6680" y="461772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274320</xdr:colOff>
      <xdr:row>23</xdr:row>
      <xdr:rowOff>137160</xdr:rowOff>
    </xdr:from>
    <xdr:to>
      <xdr:col>0</xdr:col>
      <xdr:colOff>1371600</xdr:colOff>
      <xdr:row>24</xdr:row>
      <xdr:rowOff>160020</xdr:rowOff>
    </xdr:to>
    <xdr:sp macro="" textlink="">
      <xdr:nvSpPr>
        <xdr:cNvPr id="34" name="TextBox 33">
          <a:extLst>
            <a:ext uri="{FF2B5EF4-FFF2-40B4-BE49-F238E27FC236}">
              <a16:creationId xmlns:a16="http://schemas.microsoft.com/office/drawing/2014/main" id="{5F03C2D4-F3C2-EF8B-78C3-4DB3ADBF4D00}"/>
            </a:ext>
          </a:extLst>
        </xdr:cNvPr>
        <xdr:cNvSpPr txBox="1"/>
      </xdr:nvSpPr>
      <xdr:spPr>
        <a:xfrm>
          <a:off x="274320" y="4343400"/>
          <a:ext cx="1097280" cy="20574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AGE</a:t>
          </a:r>
        </a:p>
      </xdr:txBody>
    </xdr:sp>
    <xdr:clientData/>
  </xdr:twoCellAnchor>
  <xdr:twoCellAnchor>
    <xdr:from>
      <xdr:col>2</xdr:col>
      <xdr:colOff>480060</xdr:colOff>
      <xdr:row>7</xdr:row>
      <xdr:rowOff>83820</xdr:rowOff>
    </xdr:from>
    <xdr:to>
      <xdr:col>7</xdr:col>
      <xdr:colOff>548640</xdr:colOff>
      <xdr:row>17</xdr:row>
      <xdr:rowOff>45720</xdr:rowOff>
    </xdr:to>
    <xdr:graphicFrame macro="">
      <xdr:nvGraphicFramePr>
        <xdr:cNvPr id="35" name="Chart 34">
          <a:extLst>
            <a:ext uri="{FF2B5EF4-FFF2-40B4-BE49-F238E27FC236}">
              <a16:creationId xmlns:a16="http://schemas.microsoft.com/office/drawing/2014/main" id="{60BD4A0B-2C3E-451F-B30A-D04D6F88A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495300</xdr:colOff>
      <xdr:row>17</xdr:row>
      <xdr:rowOff>83820</xdr:rowOff>
    </xdr:from>
    <xdr:to>
      <xdr:col>7</xdr:col>
      <xdr:colOff>548640</xdr:colOff>
      <xdr:row>27</xdr:row>
      <xdr:rowOff>60960</xdr:rowOff>
    </xdr:to>
    <xdr:graphicFrame macro="">
      <xdr:nvGraphicFramePr>
        <xdr:cNvPr id="36" name="Chart 35">
          <a:extLst>
            <a:ext uri="{FF2B5EF4-FFF2-40B4-BE49-F238E27FC236}">
              <a16:creationId xmlns:a16="http://schemas.microsoft.com/office/drawing/2014/main" id="{25D3D89E-6971-4924-9138-8C18B0E36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594360</xdr:colOff>
      <xdr:row>2</xdr:row>
      <xdr:rowOff>121920</xdr:rowOff>
    </xdr:from>
    <xdr:to>
      <xdr:col>15</xdr:col>
      <xdr:colOff>396240</xdr:colOff>
      <xdr:row>13</xdr:row>
      <xdr:rowOff>15240</xdr:rowOff>
    </xdr:to>
    <xdr:graphicFrame macro="">
      <xdr:nvGraphicFramePr>
        <xdr:cNvPr id="38" name="Chart 37">
          <a:extLst>
            <a:ext uri="{FF2B5EF4-FFF2-40B4-BE49-F238E27FC236}">
              <a16:creationId xmlns:a16="http://schemas.microsoft.com/office/drawing/2014/main" id="{C24D2964-8BB9-4060-B5FA-D96DE2100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0</xdr:colOff>
      <xdr:row>13</xdr:row>
      <xdr:rowOff>53340</xdr:rowOff>
    </xdr:from>
    <xdr:to>
      <xdr:col>14</xdr:col>
      <xdr:colOff>266700</xdr:colOff>
      <xdr:row>27</xdr:row>
      <xdr:rowOff>60960</xdr:rowOff>
    </xdr:to>
    <xdr:graphicFrame macro="">
      <xdr:nvGraphicFramePr>
        <xdr:cNvPr id="39" name="Chart 38">
          <a:extLst>
            <a:ext uri="{FF2B5EF4-FFF2-40B4-BE49-F238E27FC236}">
              <a16:creationId xmlns:a16="http://schemas.microsoft.com/office/drawing/2014/main" id="{7A6472E2-E2F4-4F9A-8034-0BBBA2B68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350520</xdr:colOff>
      <xdr:row>2</xdr:row>
      <xdr:rowOff>121920</xdr:rowOff>
    </xdr:from>
    <xdr:to>
      <xdr:col>20</xdr:col>
      <xdr:colOff>175260</xdr:colOff>
      <xdr:row>13</xdr:row>
      <xdr:rowOff>7620</xdr:rowOff>
    </xdr:to>
    <xdr:graphicFrame macro="">
      <xdr:nvGraphicFramePr>
        <xdr:cNvPr id="40" name="Chart 39">
          <a:extLst>
            <a:ext uri="{FF2B5EF4-FFF2-40B4-BE49-F238E27FC236}">
              <a16:creationId xmlns:a16="http://schemas.microsoft.com/office/drawing/2014/main" id="{A28D315C-42DA-4873-9359-CB7C7589F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312420</xdr:colOff>
      <xdr:row>13</xdr:row>
      <xdr:rowOff>60960</xdr:rowOff>
    </xdr:from>
    <xdr:to>
      <xdr:col>20</xdr:col>
      <xdr:colOff>190500</xdr:colOff>
      <xdr:row>27</xdr:row>
      <xdr:rowOff>60960</xdr:rowOff>
    </xdr:to>
    <xdr:graphicFrame macro="">
      <xdr:nvGraphicFramePr>
        <xdr:cNvPr id="41" name="Chart 40">
          <a:extLst>
            <a:ext uri="{FF2B5EF4-FFF2-40B4-BE49-F238E27FC236}">
              <a16:creationId xmlns:a16="http://schemas.microsoft.com/office/drawing/2014/main" id="{D19C8E0A-1DCA-4B95-AE1B-B6A7BC865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144780</xdr:colOff>
      <xdr:row>2</xdr:row>
      <xdr:rowOff>60961</xdr:rowOff>
    </xdr:from>
    <xdr:to>
      <xdr:col>7</xdr:col>
      <xdr:colOff>472440</xdr:colOff>
      <xdr:row>7</xdr:row>
      <xdr:rowOff>53341</xdr:rowOff>
    </xdr:to>
    <mc:AlternateContent xmlns:mc="http://schemas.openxmlformats.org/markup-compatibility/2006" xmlns:a14="http://schemas.microsoft.com/office/drawing/2010/main">
      <mc:Choice Requires="a14">
        <xdr:graphicFrame macro="">
          <xdr:nvGraphicFramePr>
            <xdr:cNvPr id="49" name="Department">
              <a:extLst>
                <a:ext uri="{FF2B5EF4-FFF2-40B4-BE49-F238E27FC236}">
                  <a16:creationId xmlns:a16="http://schemas.microsoft.com/office/drawing/2014/main" id="{09754A9E-DEB7-DD94-BEC2-CB2A865BD6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53540" y="426721"/>
              <a:ext cx="484632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13</xdr:row>
      <xdr:rowOff>137161</xdr:rowOff>
    </xdr:from>
    <xdr:to>
      <xdr:col>2</xdr:col>
      <xdr:colOff>365760</xdr:colOff>
      <xdr:row>27</xdr:row>
      <xdr:rowOff>60961</xdr:rowOff>
    </xdr:to>
    <mc:AlternateContent xmlns:mc="http://schemas.openxmlformats.org/markup-compatibility/2006" xmlns:a14="http://schemas.microsoft.com/office/drawing/2010/main">
      <mc:Choice Requires="a14">
        <xdr:graphicFrame macro="">
          <xdr:nvGraphicFramePr>
            <xdr:cNvPr id="50" name="City">
              <a:extLst>
                <a:ext uri="{FF2B5EF4-FFF2-40B4-BE49-F238E27FC236}">
                  <a16:creationId xmlns:a16="http://schemas.microsoft.com/office/drawing/2014/main" id="{60A92FF9-FDF1-A5A8-4AAA-802EF4D8D9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45920" y="2514600"/>
              <a:ext cx="1699260" cy="2529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7</xdr:row>
      <xdr:rowOff>99061</xdr:rowOff>
    </xdr:from>
    <xdr:to>
      <xdr:col>2</xdr:col>
      <xdr:colOff>358140</xdr:colOff>
      <xdr:row>13</xdr:row>
      <xdr:rowOff>30481</xdr:rowOff>
    </xdr:to>
    <mc:AlternateContent xmlns:mc="http://schemas.openxmlformats.org/markup-compatibility/2006" xmlns:a14="http://schemas.microsoft.com/office/drawing/2010/main">
      <mc:Choice Requires="a14">
        <xdr:graphicFrame macro="">
          <xdr:nvGraphicFramePr>
            <xdr:cNvPr id="52" name="Gender">
              <a:extLst>
                <a:ext uri="{FF2B5EF4-FFF2-40B4-BE49-F238E27FC236}">
                  <a16:creationId xmlns:a16="http://schemas.microsoft.com/office/drawing/2014/main" id="{6C6E45A8-C111-BCBA-C1DA-464405055CE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45920" y="1379221"/>
              <a:ext cx="169164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kapuram Laxman" refreshedDate="46251.593186458333" createdVersion="8" refreshedVersion="8" minRefreshableVersion="3" recordCount="1000" xr:uid="{904DAFBE-20D5-4E0A-8296-F9F8FA15A672}">
  <cacheSource type="worksheet">
    <worksheetSource name="HR_TABLE"/>
  </cacheSource>
  <cacheFields count="30">
    <cacheField name="Employee ID" numFmtId="0">
      <sharedItems/>
    </cacheField>
    <cacheField name="Gender" numFmtId="0">
      <sharedItems count="2">
        <s v="Male"/>
        <s v="Female"/>
      </sharedItems>
    </cacheField>
    <cacheField name="Age" numFmtId="0">
      <sharedItems containsSemiMixedTypes="0" containsString="0" containsNumber="1" containsInteger="1" minValue="21" maxValue="58" count="33">
        <n v="35"/>
        <n v="31"/>
        <n v="36"/>
        <n v="42"/>
        <n v="30"/>
        <n v="43"/>
        <n v="37"/>
        <n v="28"/>
        <n v="33"/>
        <n v="21"/>
        <n v="24"/>
        <n v="34"/>
        <n v="25"/>
        <n v="22"/>
        <n v="32"/>
        <n v="23"/>
        <n v="27"/>
        <n v="29"/>
        <n v="44"/>
        <n v="26"/>
        <n v="39"/>
        <n v="38"/>
        <n v="41"/>
        <n v="45"/>
        <n v="49"/>
        <n v="47"/>
        <n v="40"/>
        <n v="51"/>
        <n v="58"/>
        <n v="48"/>
        <n v="46"/>
        <n v="53"/>
        <n v="50"/>
      </sharedItems>
      <fieldGroup base="2">
        <rangePr startNum="21" endNum="58" groupInterval="5"/>
        <groupItems count="10">
          <s v="&lt;21"/>
          <s v="21-25"/>
          <s v="26-30"/>
          <s v="31-35"/>
          <s v="36-40"/>
          <s v="41-45"/>
          <s v="46-50"/>
          <s v="51-55"/>
          <s v="56-60"/>
          <s v="&gt;61"/>
        </groupItems>
      </fieldGroup>
    </cacheField>
    <cacheField name="Department" numFmtId="0">
      <sharedItems count="8">
        <s v="IT"/>
        <s v="Sales"/>
        <s v="HR"/>
        <s v="Operations"/>
        <s v="Customer Service"/>
        <s v="Marketing"/>
        <s v="Finance"/>
        <s v="R&amp;D"/>
      </sharedItems>
    </cacheField>
    <cacheField name="Job Role" numFmtId="0">
      <sharedItems count="32">
        <s v="System Administrator"/>
        <s v="Account Manager"/>
        <s v="Training Specialist"/>
        <s v="Process Analyst"/>
        <s v="Supply Chain Analyst"/>
        <s v="Service Representative"/>
        <s v="Marketing Manager"/>
        <s v="Accountant"/>
        <s v="Research Analyst"/>
        <s v="Data Analyst"/>
        <s v="Software Engineer"/>
        <s v="Business Development Executive"/>
        <s v="HR Manager"/>
        <s v="Digital Marketing Specialist"/>
        <s v="Sales Manager"/>
        <s v="Operations Executive"/>
        <s v="IT Support Specialist"/>
        <s v="R&amp;D Manager"/>
        <s v="Call Center Executive"/>
        <s v="Customer Service Manager"/>
        <s v="Product Developer"/>
        <s v="Operations Manager"/>
        <s v="Finance Manager"/>
        <s v="HR Executive"/>
        <s v="Payroll Specialist"/>
        <s v="Content Specialist"/>
        <s v="Financial Analyst"/>
        <s v="Customer Support Executive"/>
        <s v="Marketing Executive"/>
        <s v="Research Engineer"/>
        <s v="Recruiter"/>
        <s v="Sales Executive"/>
      </sharedItems>
    </cacheField>
    <cacheField name="Job Level" numFmtId="0">
      <sharedItems/>
    </cacheField>
    <cacheField name="Monthly Salary" numFmtId="0">
      <sharedItems containsSemiMixedTypes="0" containsString="0" containsNumber="1" containsInteger="1" minValue="28091" maxValue="158012"/>
    </cacheField>
    <cacheField name="Hire Date" numFmtId="164">
      <sharedItems containsSemiMixedTypes="0" containsNonDate="0" containsDate="1" containsString="0" minDate="2019-01-02T00:00:00" maxDate="2026-08-23T00:00:00" count="846">
        <d v="2020-02-24T00:00:00"/>
        <d v="2023-09-28T00:00:00"/>
        <d v="2025-06-22T00:00:00"/>
        <d v="2026-04-08T00:00:00"/>
        <d v="2025-05-12T00:00:00"/>
        <d v="2024-07-14T00:00:00"/>
        <d v="2020-10-09T00:00:00"/>
        <d v="2020-04-03T00:00:00"/>
        <d v="2023-09-30T00:00:00"/>
        <d v="2026-01-28T00:00:00"/>
        <d v="2020-02-02T00:00:00"/>
        <d v="2022-02-14T00:00:00"/>
        <d v="2019-01-09T00:00:00"/>
        <d v="2020-10-06T00:00:00"/>
        <d v="2026-07-06T00:00:00"/>
        <d v="2021-09-27T00:00:00"/>
        <d v="2021-05-12T00:00:00"/>
        <d v="2019-02-09T00:00:00"/>
        <d v="2025-12-17T00:00:00"/>
        <d v="2021-06-30T00:00:00"/>
        <d v="2025-07-06T00:00:00"/>
        <d v="2023-11-02T00:00:00"/>
        <d v="2025-05-20T00:00:00"/>
        <d v="2022-10-04T00:00:00"/>
        <d v="2020-08-27T00:00:00"/>
        <d v="2024-04-28T00:00:00"/>
        <d v="2020-07-20T00:00:00"/>
        <d v="2019-01-25T00:00:00"/>
        <d v="2020-06-06T00:00:00"/>
        <d v="2022-02-13T00:00:00"/>
        <d v="2026-07-05T00:00:00"/>
        <d v="2022-05-20T00:00:00"/>
        <d v="2020-12-22T00:00:00"/>
        <d v="2021-01-14T00:00:00"/>
        <d v="2019-03-12T00:00:00"/>
        <d v="2020-05-09T00:00:00"/>
        <d v="2024-12-27T00:00:00"/>
        <d v="2020-04-12T00:00:00"/>
        <d v="2022-06-04T00:00:00"/>
        <d v="2019-05-14T00:00:00"/>
        <d v="2020-11-10T00:00:00"/>
        <d v="2021-10-22T00:00:00"/>
        <d v="2023-07-31T00:00:00"/>
        <d v="2026-05-17T00:00:00"/>
        <d v="2020-10-10T00:00:00"/>
        <d v="2025-03-07T00:00:00"/>
        <d v="2025-03-10T00:00:00"/>
        <d v="2024-08-19T00:00:00"/>
        <d v="2023-06-17T00:00:00"/>
        <d v="2020-11-12T00:00:00"/>
        <d v="2025-07-16T00:00:00"/>
        <d v="2024-06-02T00:00:00"/>
        <d v="2025-12-18T00:00:00"/>
        <d v="2023-02-07T00:00:00"/>
        <d v="2021-12-19T00:00:00"/>
        <d v="2020-04-22T00:00:00"/>
        <d v="2022-02-19T00:00:00"/>
        <d v="2020-01-11T00:00:00"/>
        <d v="2021-10-23T00:00:00"/>
        <d v="2024-01-11T00:00:00"/>
        <d v="2019-10-29T00:00:00"/>
        <d v="2021-07-24T00:00:00"/>
        <d v="2023-03-07T00:00:00"/>
        <d v="2021-07-07T00:00:00"/>
        <d v="2025-05-08T00:00:00"/>
        <d v="2024-06-16T00:00:00"/>
        <d v="2020-12-20T00:00:00"/>
        <d v="2023-07-18T00:00:00"/>
        <d v="2020-11-19T00:00:00"/>
        <d v="2024-03-15T00:00:00"/>
        <d v="2024-01-26T00:00:00"/>
        <d v="2020-02-28T00:00:00"/>
        <d v="2022-09-12T00:00:00"/>
        <d v="2026-03-20T00:00:00"/>
        <d v="2022-04-26T00:00:00"/>
        <d v="2023-12-25T00:00:00"/>
        <d v="2025-10-12T00:00:00"/>
        <d v="2022-12-02T00:00:00"/>
        <d v="2024-04-05T00:00:00"/>
        <d v="2025-09-10T00:00:00"/>
        <d v="2019-06-28T00:00:00"/>
        <d v="2024-03-18T00:00:00"/>
        <d v="2023-01-02T00:00:00"/>
        <d v="2025-10-03T00:00:00"/>
        <d v="2022-01-29T00:00:00"/>
        <d v="2023-02-28T00:00:00"/>
        <d v="2021-05-28T00:00:00"/>
        <d v="2023-01-20T00:00:00"/>
        <d v="2023-08-10T00:00:00"/>
        <d v="2022-05-30T00:00:00"/>
        <d v="2020-09-23T00:00:00"/>
        <d v="2022-05-22T00:00:00"/>
        <d v="2023-02-26T00:00:00"/>
        <d v="2021-02-16T00:00:00"/>
        <d v="2026-05-03T00:00:00"/>
        <d v="2025-03-02T00:00:00"/>
        <d v="2024-04-24T00:00:00"/>
        <d v="2023-09-03T00:00:00"/>
        <d v="2023-12-12T00:00:00"/>
        <d v="2022-11-03T00:00:00"/>
        <d v="2022-03-24T00:00:00"/>
        <d v="2025-01-15T00:00:00"/>
        <d v="2026-08-22T00:00:00"/>
        <d v="2019-05-29T00:00:00"/>
        <d v="2022-09-16T00:00:00"/>
        <d v="2021-01-26T00:00:00"/>
        <d v="2022-06-10T00:00:00"/>
        <d v="2021-10-10T00:00:00"/>
        <d v="2020-01-08T00:00:00"/>
        <d v="2022-11-12T00:00:00"/>
        <d v="2020-04-30T00:00:00"/>
        <d v="2022-02-03T00:00:00"/>
        <d v="2025-01-19T00:00:00"/>
        <d v="2025-08-20T00:00:00"/>
        <d v="2020-08-14T00:00:00"/>
        <d v="2023-03-25T00:00:00"/>
        <d v="2021-04-17T00:00:00"/>
        <d v="2023-08-23T00:00:00"/>
        <d v="2026-03-13T00:00:00"/>
        <d v="2021-08-05T00:00:00"/>
        <d v="2026-07-23T00:00:00"/>
        <d v="2026-05-01T00:00:00"/>
        <d v="2024-05-01T00:00:00"/>
        <d v="2025-05-10T00:00:00"/>
        <d v="2021-07-23T00:00:00"/>
        <d v="2022-07-21T00:00:00"/>
        <d v="2025-09-11T00:00:00"/>
        <d v="2023-11-16T00:00:00"/>
        <d v="2022-10-03T00:00:00"/>
        <d v="2020-04-11T00:00:00"/>
        <d v="2026-05-21T00:00:00"/>
        <d v="2019-07-01T00:00:00"/>
        <d v="2022-04-25T00:00:00"/>
        <d v="2019-04-03T00:00:00"/>
        <d v="2023-11-06T00:00:00"/>
        <d v="2024-01-22T00:00:00"/>
        <d v="2022-01-30T00:00:00"/>
        <d v="2019-09-01T00:00:00"/>
        <d v="2020-06-27T00:00:00"/>
        <d v="2022-09-02T00:00:00"/>
        <d v="2020-06-18T00:00:00"/>
        <d v="2020-01-18T00:00:00"/>
        <d v="2023-12-28T00:00:00"/>
        <d v="2020-06-29T00:00:00"/>
        <d v="2025-08-11T00:00:00"/>
        <d v="2021-09-07T00:00:00"/>
        <d v="2019-02-26T00:00:00"/>
        <d v="2020-09-28T00:00:00"/>
        <d v="2019-02-16T00:00:00"/>
        <d v="2023-01-15T00:00:00"/>
        <d v="2021-01-03T00:00:00"/>
        <d v="2019-07-08T00:00:00"/>
        <d v="2021-03-11T00:00:00"/>
        <d v="2023-09-16T00:00:00"/>
        <d v="2026-06-06T00:00:00"/>
        <d v="2024-03-23T00:00:00"/>
        <d v="2020-08-30T00:00:00"/>
        <d v="2019-09-10T00:00:00"/>
        <d v="2019-07-27T00:00:00"/>
        <d v="2024-08-05T00:00:00"/>
        <d v="2022-08-10T00:00:00"/>
        <d v="2019-08-18T00:00:00"/>
        <d v="2019-06-05T00:00:00"/>
        <d v="2020-03-30T00:00:00"/>
        <d v="2020-12-19T00:00:00"/>
        <d v="2019-11-15T00:00:00"/>
        <d v="2023-11-30T00:00:00"/>
        <d v="2022-11-01T00:00:00"/>
        <d v="2021-02-17T00:00:00"/>
        <d v="2022-04-21T00:00:00"/>
        <d v="2023-04-12T00:00:00"/>
        <d v="2023-05-05T00:00:00"/>
        <d v="2021-02-28T00:00:00"/>
        <d v="2023-08-25T00:00:00"/>
        <d v="2025-12-07T00:00:00"/>
        <d v="2023-12-20T00:00:00"/>
        <d v="2024-11-17T00:00:00"/>
        <d v="2023-03-06T00:00:00"/>
        <d v="2026-08-07T00:00:00"/>
        <d v="2021-06-12T00:00:00"/>
        <d v="2026-05-11T00:00:00"/>
        <d v="2019-05-25T00:00:00"/>
        <d v="2025-04-08T00:00:00"/>
        <d v="2024-08-11T00:00:00"/>
        <d v="2019-01-20T00:00:00"/>
        <d v="2022-06-07T00:00:00"/>
        <d v="2020-06-21T00:00:00"/>
        <d v="2020-03-11T00:00:00"/>
        <d v="2026-07-14T00:00:00"/>
        <d v="2020-12-16T00:00:00"/>
        <d v="2022-11-04T00:00:00"/>
        <d v="2025-11-08T00:00:00"/>
        <d v="2024-05-27T00:00:00"/>
        <d v="2021-07-01T00:00:00"/>
        <d v="2025-04-01T00:00:00"/>
        <d v="2020-02-04T00:00:00"/>
        <d v="2021-06-02T00:00:00"/>
        <d v="2020-12-26T00:00:00"/>
        <d v="2020-06-30T00:00:00"/>
        <d v="2025-04-22T00:00:00"/>
        <d v="2022-03-19T00:00:00"/>
        <d v="2019-11-02T00:00:00"/>
        <d v="2022-08-14T00:00:00"/>
        <d v="2021-05-23T00:00:00"/>
        <d v="2023-04-30T00:00:00"/>
        <d v="2024-12-24T00:00:00"/>
        <d v="2019-08-11T00:00:00"/>
        <d v="2024-08-21T00:00:00"/>
        <d v="2026-04-07T00:00:00"/>
        <d v="2021-06-23T00:00:00"/>
        <d v="2020-06-09T00:00:00"/>
        <d v="2021-10-05T00:00:00"/>
        <d v="2025-08-12T00:00:00"/>
        <d v="2024-06-03T00:00:00"/>
        <d v="2020-02-27T00:00:00"/>
        <d v="2019-01-28T00:00:00"/>
        <d v="2026-07-28T00:00:00"/>
        <d v="2021-01-07T00:00:00"/>
        <d v="2024-09-23T00:00:00"/>
        <d v="2025-11-23T00:00:00"/>
        <d v="2025-08-09T00:00:00"/>
        <d v="2023-08-02T00:00:00"/>
        <d v="2024-06-04T00:00:00"/>
        <d v="2020-01-09T00:00:00"/>
        <d v="2021-04-06T00:00:00"/>
        <d v="2019-10-09T00:00:00"/>
        <d v="2022-10-24T00:00:00"/>
        <d v="2026-08-04T00:00:00"/>
        <d v="2025-06-07T00:00:00"/>
        <d v="2026-07-31T00:00:00"/>
        <d v="2025-01-23T00:00:00"/>
        <d v="2021-12-12T00:00:00"/>
        <d v="2022-01-10T00:00:00"/>
        <d v="2020-10-31T00:00:00"/>
        <d v="2021-03-25T00:00:00"/>
        <d v="2023-09-24T00:00:00"/>
        <d v="2024-01-19T00:00:00"/>
        <d v="2023-06-15T00:00:00"/>
        <d v="2022-08-25T00:00:00"/>
        <d v="2024-10-17T00:00:00"/>
        <d v="2019-07-23T00:00:00"/>
        <d v="2019-05-10T00:00:00"/>
        <d v="2019-05-18T00:00:00"/>
        <d v="2019-08-02T00:00:00"/>
        <d v="2021-10-15T00:00:00"/>
        <d v="2019-03-29T00:00:00"/>
        <d v="2025-03-21T00:00:00"/>
        <d v="2023-05-07T00:00:00"/>
        <d v="2024-06-11T00:00:00"/>
        <d v="2023-01-18T00:00:00"/>
        <d v="2026-05-14T00:00:00"/>
        <d v="2019-05-22T00:00:00"/>
        <d v="2020-10-01T00:00:00"/>
        <d v="2026-03-15T00:00:00"/>
        <d v="2022-07-31T00:00:00"/>
        <d v="2025-02-23T00:00:00"/>
        <d v="2025-06-17T00:00:00"/>
        <d v="2023-03-12T00:00:00"/>
        <d v="2025-01-12T00:00:00"/>
        <d v="2022-01-16T00:00:00"/>
        <d v="2024-12-17T00:00:00"/>
        <d v="2021-08-25T00:00:00"/>
        <d v="2020-09-17T00:00:00"/>
        <d v="2024-12-23T00:00:00"/>
        <d v="2025-11-11T00:00:00"/>
        <d v="2020-11-01T00:00:00"/>
        <d v="2019-06-21T00:00:00"/>
        <d v="2023-12-06T00:00:00"/>
        <d v="2022-08-17T00:00:00"/>
        <d v="2023-04-08T00:00:00"/>
        <d v="2019-01-15T00:00:00"/>
        <d v="2025-02-19T00:00:00"/>
        <d v="2020-12-31T00:00:00"/>
        <d v="2020-05-14T00:00:00"/>
        <d v="2025-04-23T00:00:00"/>
        <d v="2022-09-29T00:00:00"/>
        <d v="2025-11-28T00:00:00"/>
        <d v="2025-03-24T00:00:00"/>
        <d v="2022-01-17T00:00:00"/>
        <d v="2021-02-18T00:00:00"/>
        <d v="2019-12-23T00:00:00"/>
        <d v="2022-01-25T00:00:00"/>
        <d v="2019-04-29T00:00:00"/>
        <d v="2024-04-02T00:00:00"/>
        <d v="2020-04-07T00:00:00"/>
        <d v="2023-08-21T00:00:00"/>
        <d v="2025-09-07T00:00:00"/>
        <d v="2024-01-30T00:00:00"/>
        <d v="2025-02-26T00:00:00"/>
        <d v="2021-05-15T00:00:00"/>
        <d v="2020-07-16T00:00:00"/>
        <d v="2022-01-07T00:00:00"/>
        <d v="2024-04-19T00:00:00"/>
        <d v="2025-09-13T00:00:00"/>
        <d v="2022-02-24T00:00:00"/>
        <d v="2020-08-17T00:00:00"/>
        <d v="2023-06-22T00:00:00"/>
        <d v="2020-02-03T00:00:00"/>
        <d v="2026-07-18T00:00:00"/>
        <d v="2022-02-09T00:00:00"/>
        <d v="2021-06-13T00:00:00"/>
        <d v="2026-02-02T00:00:00"/>
        <d v="2023-01-11T00:00:00"/>
        <d v="2026-04-11T00:00:00"/>
        <d v="2026-08-10T00:00:00"/>
        <d v="2023-12-02T00:00:00"/>
        <d v="2020-06-03T00:00:00"/>
        <d v="2024-12-11T00:00:00"/>
        <d v="2022-03-13T00:00:00"/>
        <d v="2024-02-07T00:00:00"/>
        <d v="2020-12-02T00:00:00"/>
        <d v="2021-10-07T00:00:00"/>
        <d v="2024-07-21T00:00:00"/>
        <d v="2025-05-25T00:00:00"/>
        <d v="2025-11-13T00:00:00"/>
        <d v="2019-10-02T00:00:00"/>
        <d v="2024-06-14T00:00:00"/>
        <d v="2020-08-29T00:00:00"/>
        <d v="2023-08-14T00:00:00"/>
        <d v="2021-04-20T00:00:00"/>
        <d v="2025-02-15T00:00:00"/>
        <d v="2025-12-04T00:00:00"/>
        <d v="2025-10-06T00:00:00"/>
        <d v="2023-08-30T00:00:00"/>
        <d v="2026-03-01T00:00:00"/>
        <d v="2019-01-11T00:00:00"/>
        <d v="2025-05-05T00:00:00"/>
        <d v="2019-08-05T00:00:00"/>
        <d v="2020-01-28T00:00:00"/>
        <d v="2025-04-07T00:00:00"/>
        <d v="2019-04-28T00:00:00"/>
        <d v="2020-03-17T00:00:00"/>
        <d v="2019-04-30T00:00:00"/>
        <d v="2019-01-18T00:00:00"/>
        <d v="2022-07-11T00:00:00"/>
        <d v="2025-03-18T00:00:00"/>
        <d v="2025-08-15T00:00:00"/>
        <d v="2024-09-25T00:00:00"/>
        <d v="2026-08-14T00:00:00"/>
        <d v="2023-04-21T00:00:00"/>
        <d v="2024-05-03T00:00:00"/>
        <d v="2026-01-04T00:00:00"/>
        <d v="2019-03-22T00:00:00"/>
        <d v="2021-07-14T00:00:00"/>
        <d v="2023-07-06T00:00:00"/>
        <d v="2020-08-28T00:00:00"/>
        <d v="2021-02-25T00:00:00"/>
        <d v="2024-06-13T00:00:00"/>
        <d v="2021-09-02T00:00:00"/>
        <d v="2023-01-26T00:00:00"/>
        <d v="2024-07-06T00:00:00"/>
        <d v="2026-03-10T00:00:00"/>
        <d v="2020-12-11T00:00:00"/>
        <d v="2023-07-01T00:00:00"/>
        <d v="2021-02-19T00:00:00"/>
        <d v="2021-10-14T00:00:00"/>
        <d v="2022-09-25T00:00:00"/>
        <d v="2022-10-21T00:00:00"/>
        <d v="2024-10-18T00:00:00"/>
        <d v="2023-11-23T00:00:00"/>
        <d v="2020-11-20T00:00:00"/>
        <d v="2019-08-16T00:00:00"/>
        <d v="2024-07-03T00:00:00"/>
        <d v="2021-02-02T00:00:00"/>
        <d v="2021-01-05T00:00:00"/>
        <d v="2023-11-12T00:00:00"/>
        <d v="2019-03-31T00:00:00"/>
        <d v="2024-07-23T00:00:00"/>
        <d v="2024-04-22T00:00:00"/>
        <d v="2023-05-18T00:00:00"/>
        <d v="2021-05-07T00:00:00"/>
        <d v="2022-12-26T00:00:00"/>
        <d v="2022-04-11T00:00:00"/>
        <d v="2019-12-16T00:00:00"/>
        <d v="2019-02-10T00:00:00"/>
        <d v="2022-07-08T00:00:00"/>
        <d v="2020-05-31T00:00:00"/>
        <d v="2021-11-29T00:00:00"/>
        <d v="2024-10-29T00:00:00"/>
        <d v="2024-01-02T00:00:00"/>
        <d v="2024-02-18T00:00:00"/>
        <d v="2023-03-02T00:00:00"/>
        <d v="2025-02-20T00:00:00"/>
        <d v="2025-12-09T00:00:00"/>
        <d v="2019-04-06T00:00:00"/>
        <d v="2021-09-08T00:00:00"/>
        <d v="2020-11-16T00:00:00"/>
        <d v="2020-05-18T00:00:00"/>
        <d v="2026-04-01T00:00:00"/>
        <d v="2019-02-04T00:00:00"/>
        <d v="2022-02-23T00:00:00"/>
        <d v="2021-07-22T00:00:00"/>
        <d v="2024-03-26T00:00:00"/>
        <d v="2023-10-02T00:00:00"/>
        <d v="2019-09-27T00:00:00"/>
        <d v="2026-04-20T00:00:00"/>
        <d v="2021-09-22T00:00:00"/>
        <d v="2024-09-08T00:00:00"/>
        <d v="2020-03-05T00:00:00"/>
        <d v="2020-12-14T00:00:00"/>
        <d v="2022-04-19T00:00:00"/>
        <d v="2023-11-07T00:00:00"/>
        <d v="2023-07-20T00:00:00"/>
        <d v="2023-09-07T00:00:00"/>
        <d v="2025-01-11T00:00:00"/>
        <d v="2026-03-02T00:00:00"/>
        <d v="2019-10-14T00:00:00"/>
        <d v="2021-04-29T00:00:00"/>
        <d v="2024-06-08T00:00:00"/>
        <d v="2026-07-13T00:00:00"/>
        <d v="2019-06-30T00:00:00"/>
        <d v="2026-05-02T00:00:00"/>
        <d v="2026-08-08T00:00:00"/>
        <d v="2023-10-22T00:00:00"/>
        <d v="2024-11-03T00:00:00"/>
        <d v="2021-02-27T00:00:00"/>
        <d v="2025-10-17T00:00:00"/>
        <d v="2024-05-28T00:00:00"/>
        <d v="2020-07-13T00:00:00"/>
        <d v="2019-10-19T00:00:00"/>
        <d v="2024-05-10T00:00:00"/>
        <d v="2025-07-28T00:00:00"/>
        <d v="2021-05-08T00:00:00"/>
        <d v="2021-03-22T00:00:00"/>
        <d v="2019-12-18T00:00:00"/>
        <d v="2023-03-19T00:00:00"/>
        <d v="2019-01-13T00:00:00"/>
        <d v="2026-02-08T00:00:00"/>
        <d v="2024-08-28T00:00:00"/>
        <d v="2023-04-13T00:00:00"/>
        <d v="2019-01-07T00:00:00"/>
        <d v="2022-04-30T00:00:00"/>
        <d v="2023-03-23T00:00:00"/>
        <d v="2023-05-23T00:00:00"/>
        <d v="2024-05-30T00:00:00"/>
        <d v="2020-04-25T00:00:00"/>
        <d v="2026-02-03T00:00:00"/>
        <d v="2025-05-29T00:00:00"/>
        <d v="2024-01-06T00:00:00"/>
        <d v="2024-10-28T00:00:00"/>
        <d v="2025-10-02T00:00:00"/>
        <d v="2020-08-09T00:00:00"/>
        <d v="2020-05-25T00:00:00"/>
        <d v="2020-03-06T00:00:00"/>
        <d v="2022-11-14T00:00:00"/>
        <d v="2023-12-03T00:00:00"/>
        <d v="2019-12-13T00:00:00"/>
        <d v="2020-04-08T00:00:00"/>
        <d v="2022-12-28T00:00:00"/>
        <d v="2023-11-13T00:00:00"/>
        <d v="2025-03-03T00:00:00"/>
        <d v="2019-02-02T00:00:00"/>
        <d v="2021-03-23T00:00:00"/>
        <d v="2019-07-28T00:00:00"/>
        <d v="2019-07-14T00:00:00"/>
        <d v="2026-07-03T00:00:00"/>
        <d v="2023-12-31T00:00:00"/>
        <d v="2019-10-05T00:00:00"/>
        <d v="2023-04-23T00:00:00"/>
        <d v="2020-05-02T00:00:00"/>
        <d v="2025-02-27T00:00:00"/>
        <d v="2021-06-22T00:00:00"/>
        <d v="2024-07-02T00:00:00"/>
        <d v="2023-04-22T00:00:00"/>
        <d v="2019-04-09T00:00:00"/>
        <d v="2023-01-16T00:00:00"/>
        <d v="2021-12-23T00:00:00"/>
        <d v="2019-12-24T00:00:00"/>
        <d v="2019-08-17T00:00:00"/>
        <d v="2019-11-20T00:00:00"/>
        <d v="2020-03-31T00:00:00"/>
        <d v="2023-03-27T00:00:00"/>
        <d v="2021-03-08T00:00:00"/>
        <d v="2026-02-27T00:00:00"/>
        <d v="2020-06-14T00:00:00"/>
        <d v="2024-07-30T00:00:00"/>
        <d v="2023-05-10T00:00:00"/>
        <d v="2019-08-10T00:00:00"/>
        <d v="2020-01-14T00:00:00"/>
        <d v="2022-07-20T00:00:00"/>
        <d v="2025-02-14T00:00:00"/>
        <d v="2025-01-30T00:00:00"/>
        <d v="2026-04-14T00:00:00"/>
        <d v="2021-03-12T00:00:00"/>
        <d v="2019-03-05T00:00:00"/>
        <d v="2022-07-27T00:00:00"/>
        <d v="2019-02-17T00:00:00"/>
        <d v="2019-07-31T00:00:00"/>
        <d v="2021-05-01T00:00:00"/>
        <d v="2020-07-21T00:00:00"/>
        <d v="2021-03-21T00:00:00"/>
        <d v="2022-12-16T00:00:00"/>
        <d v="2021-05-31T00:00:00"/>
        <d v="2021-05-19T00:00:00"/>
        <d v="2023-09-22T00:00:00"/>
        <d v="2019-10-12T00:00:00"/>
        <d v="2019-11-04T00:00:00"/>
        <d v="2026-06-01T00:00:00"/>
        <d v="2026-07-09T00:00:00"/>
        <d v="2025-12-16T00:00:00"/>
        <d v="2024-05-04T00:00:00"/>
        <d v="2019-07-21T00:00:00"/>
        <d v="2025-06-14T00:00:00"/>
        <d v="2022-03-25T00:00:00"/>
        <d v="2026-06-21T00:00:00"/>
        <d v="2022-12-15T00:00:00"/>
        <d v="2023-10-31T00:00:00"/>
        <d v="2019-06-18T00:00:00"/>
        <d v="2022-03-26T00:00:00"/>
        <d v="2024-08-18T00:00:00"/>
        <d v="2020-02-06T00:00:00"/>
        <d v="2025-02-13T00:00:00"/>
        <d v="2020-07-29T00:00:00"/>
        <d v="2022-01-11T00:00:00"/>
        <d v="2019-01-27T00:00:00"/>
        <d v="2023-07-16T00:00:00"/>
        <d v="2026-06-27T00:00:00"/>
        <d v="2023-12-26T00:00:00"/>
        <d v="2019-05-01T00:00:00"/>
        <d v="2019-10-26T00:00:00"/>
        <d v="2021-04-04T00:00:00"/>
        <d v="2024-07-25T00:00:00"/>
        <d v="2021-08-02T00:00:00"/>
        <d v="2025-04-28T00:00:00"/>
        <d v="2023-11-03T00:00:00"/>
        <d v="2020-07-18T00:00:00"/>
        <d v="2019-11-10T00:00:00"/>
        <d v="2024-07-20T00:00:00"/>
        <d v="2019-11-18T00:00:00"/>
        <d v="2022-02-12T00:00:00"/>
        <d v="2023-11-01T00:00:00"/>
        <d v="2020-03-23T00:00:00"/>
        <d v="2025-02-01T00:00:00"/>
        <d v="2019-02-06T00:00:00"/>
        <d v="2020-12-15T00:00:00"/>
        <d v="2025-01-22T00:00:00"/>
        <d v="2019-04-12T00:00:00"/>
        <d v="2026-05-24T00:00:00"/>
        <d v="2023-08-07T00:00:00"/>
        <d v="2020-04-28T00:00:00"/>
        <d v="2020-11-14T00:00:00"/>
        <d v="2026-01-27T00:00:00"/>
        <d v="2025-08-05T00:00:00"/>
        <d v="2019-04-23T00:00:00"/>
        <d v="2020-02-16T00:00:00"/>
        <d v="2022-03-03T00:00:00"/>
        <d v="2020-04-19T00:00:00"/>
        <d v="2022-08-16T00:00:00"/>
        <d v="2025-01-04T00:00:00"/>
        <d v="2023-01-23T00:00:00"/>
        <d v="2024-06-09T00:00:00"/>
        <d v="2019-03-24T00:00:00"/>
        <d v="2024-01-27T00:00:00"/>
        <d v="2020-08-01T00:00:00"/>
        <d v="2019-06-09T00:00:00"/>
        <d v="2024-11-13T00:00:00"/>
        <d v="2020-06-02T00:00:00"/>
        <d v="2019-01-02T00:00:00"/>
        <d v="2024-12-13T00:00:00"/>
        <d v="2023-10-04T00:00:00"/>
        <d v="2025-10-21T00:00:00"/>
        <d v="2023-02-22T00:00:00"/>
        <d v="2019-03-10T00:00:00"/>
        <d v="2025-10-28T00:00:00"/>
        <d v="2021-01-30T00:00:00"/>
        <d v="2022-02-16T00:00:00"/>
        <d v="2024-01-16T00:00:00"/>
        <d v="2019-05-09T00:00:00"/>
        <d v="2022-10-02T00:00:00"/>
        <d v="2023-03-09T00:00:00"/>
        <d v="2020-06-16T00:00:00"/>
        <d v="2021-04-12T00:00:00"/>
        <d v="2023-02-20T00:00:00"/>
        <d v="2020-10-20T00:00:00"/>
        <d v="2024-04-23T00:00:00"/>
        <d v="2019-06-13T00:00:00"/>
        <d v="2022-08-22T00:00:00"/>
        <d v="2025-12-03T00:00:00"/>
        <d v="2021-01-23T00:00:00"/>
        <d v="2019-05-02T00:00:00"/>
        <d v="2020-03-29T00:00:00"/>
        <d v="2024-12-21T00:00:00"/>
        <d v="2023-08-08T00:00:00"/>
        <d v="2025-06-23T00:00:00"/>
        <d v="2023-04-28T00:00:00"/>
        <d v="2020-08-20T00:00:00"/>
        <d v="2021-11-28T00:00:00"/>
        <d v="2024-11-16T00:00:00"/>
        <d v="2021-01-18T00:00:00"/>
        <d v="2021-09-26T00:00:00"/>
        <d v="2022-05-13T00:00:00"/>
        <d v="2026-03-28T00:00:00"/>
        <d v="2019-09-26T00:00:00"/>
        <d v="2025-05-27T00:00:00"/>
        <d v="2022-06-08T00:00:00"/>
        <d v="2026-06-04T00:00:00"/>
        <d v="2024-05-18T00:00:00"/>
        <d v="2020-07-04T00:00:00"/>
        <d v="2022-07-09T00:00:00"/>
        <d v="2023-06-12T00:00:00"/>
        <d v="2024-10-04T00:00:00"/>
        <d v="2025-06-12T00:00:00"/>
        <d v="2021-02-12T00:00:00"/>
        <d v="2022-01-15T00:00:00"/>
        <d v="2021-04-22T00:00:00"/>
        <d v="2023-01-13T00:00:00"/>
        <d v="2026-04-18T00:00:00"/>
        <d v="2023-03-03T00:00:00"/>
        <d v="2021-12-22T00:00:00"/>
        <d v="2020-01-13T00:00:00"/>
        <d v="2025-05-28T00:00:00"/>
        <d v="2022-09-08T00:00:00"/>
        <d v="2026-02-12T00:00:00"/>
        <d v="2022-02-18T00:00:00"/>
        <d v="2021-07-19T00:00:00"/>
        <d v="2021-06-27T00:00:00"/>
        <d v="2021-03-03T00:00:00"/>
        <d v="2026-01-18T00:00:00"/>
        <d v="2019-07-15T00:00:00"/>
        <d v="2021-07-21T00:00:00"/>
        <d v="2022-08-15T00:00:00"/>
        <d v="2022-10-25T00:00:00"/>
        <d v="2021-06-15T00:00:00"/>
        <d v="2021-12-07T00:00:00"/>
        <d v="2025-10-10T00:00:00"/>
        <d v="2023-07-26T00:00:00"/>
        <d v="2021-01-12T00:00:00"/>
        <d v="2021-10-29T00:00:00"/>
        <d v="2019-01-08T00:00:00"/>
        <d v="2025-06-09T00:00:00"/>
        <d v="2021-02-10T00:00:00"/>
        <d v="2022-04-14T00:00:00"/>
        <d v="2021-06-26T00:00:00"/>
        <d v="2021-02-15T00:00:00"/>
        <d v="2019-06-29T00:00:00"/>
        <d v="2020-08-10T00:00:00"/>
        <d v="2021-08-31T00:00:00"/>
        <d v="2022-08-28T00:00:00"/>
        <d v="2026-08-19T00:00:00"/>
        <d v="2022-09-19T00:00:00"/>
        <d v="2020-10-16T00:00:00"/>
        <d v="2024-04-20T00:00:00"/>
        <d v="2020-07-06T00:00:00"/>
        <d v="2022-02-21T00:00:00"/>
        <d v="2020-06-19T00:00:00"/>
        <d v="2022-11-02T00:00:00"/>
        <d v="2023-03-10T00:00:00"/>
        <d v="2020-07-22T00:00:00"/>
        <d v="2026-02-15T00:00:00"/>
        <d v="2022-11-10T00:00:00"/>
        <d v="2022-05-14T00:00:00"/>
        <d v="2023-04-29T00:00:00"/>
        <d v="2024-04-18T00:00:00"/>
        <d v="2020-03-10T00:00:00"/>
        <d v="2026-02-09T00:00:00"/>
        <d v="2023-09-29T00:00:00"/>
        <d v="2024-02-11T00:00:00"/>
        <d v="2023-11-14T00:00:00"/>
        <d v="2020-01-12T00:00:00"/>
        <d v="2021-12-04T00:00:00"/>
        <d v="2019-03-20T00:00:00"/>
        <d v="2023-12-30T00:00:00"/>
        <d v="2026-01-08T00:00:00"/>
        <d v="2021-08-19T00:00:00"/>
        <d v="2020-12-17T00:00:00"/>
        <d v="2024-01-21T00:00:00"/>
        <d v="2021-11-09T00:00:00"/>
        <d v="2024-02-02T00:00:00"/>
        <d v="2021-04-28T00:00:00"/>
        <d v="2025-12-11T00:00:00"/>
        <d v="2019-04-22T00:00:00"/>
        <d v="2024-01-23T00:00:00"/>
        <d v="2023-10-28T00:00:00"/>
        <d v="2022-05-15T00:00:00"/>
        <d v="2026-06-12T00:00:00"/>
        <d v="2021-12-11T00:00:00"/>
        <d v="2024-11-05T00:00:00"/>
        <d v="2022-09-01T00:00:00"/>
        <d v="2022-01-13T00:00:00"/>
        <d v="2025-05-13T00:00:00"/>
        <d v="2022-02-10T00:00:00"/>
        <d v="2025-10-08T00:00:00"/>
        <d v="2023-08-01T00:00:00"/>
        <d v="2023-12-17T00:00:00"/>
        <d v="2024-04-07T00:00:00"/>
        <d v="2022-11-27T00:00:00"/>
        <d v="2021-11-11T00:00:00"/>
        <d v="2022-08-26T00:00:00"/>
        <d v="2020-12-18T00:00:00"/>
        <d v="2024-06-18T00:00:00"/>
        <d v="2024-03-20T00:00:00"/>
        <d v="2024-09-30T00:00:00"/>
        <d v="2023-03-01T00:00:00"/>
        <d v="2022-09-14T00:00:00"/>
        <d v="2020-09-13T00:00:00"/>
        <d v="2026-07-04T00:00:00"/>
        <d v="2022-09-06T00:00:00"/>
        <d v="2025-01-29T00:00:00"/>
        <d v="2023-08-24T00:00:00"/>
        <d v="2025-08-27T00:00:00"/>
        <d v="2022-04-08T00:00:00"/>
        <d v="2021-12-30T00:00:00"/>
        <d v="2026-06-16T00:00:00"/>
        <d v="2023-05-20T00:00:00"/>
        <d v="2025-05-09T00:00:00"/>
        <d v="2019-02-07T00:00:00"/>
        <d v="2025-08-17T00:00:00"/>
        <d v="2023-09-04T00:00:00"/>
        <d v="2021-04-15T00:00:00"/>
        <d v="2020-05-12T00:00:00"/>
        <d v="2021-07-17T00:00:00"/>
        <d v="2024-03-13T00:00:00"/>
        <d v="2019-08-13T00:00:00"/>
        <d v="2022-09-04T00:00:00"/>
        <d v="2025-01-26T00:00:00"/>
        <d v="2025-08-06T00:00:00"/>
        <d v="2022-04-13T00:00:00"/>
        <d v="2025-06-11T00:00:00"/>
        <d v="2022-01-31T00:00:00"/>
        <d v="2024-02-23T00:00:00"/>
        <d v="2024-01-15T00:00:00"/>
        <d v="2024-11-08T00:00:00"/>
        <d v="2026-01-02T00:00:00"/>
        <d v="2024-03-28T00:00:00"/>
        <d v="2023-08-03T00:00:00"/>
        <d v="2025-12-08T00:00:00"/>
        <d v="2020-03-20T00:00:00"/>
        <d v="2025-11-07T00:00:00"/>
        <d v="2025-04-13T00:00:00"/>
        <d v="2020-01-19T00:00:00"/>
        <d v="2022-08-11T00:00:00"/>
        <d v="2023-12-04T00:00:00"/>
        <d v="2025-06-18T00:00:00"/>
        <d v="2021-10-03T00:00:00"/>
        <d v="2026-02-19T00:00:00"/>
        <d v="2024-10-13T00:00:00"/>
        <d v="2020-10-11T00:00:00"/>
        <d v="2020-10-03T00:00:00"/>
        <d v="2022-04-05T00:00:00"/>
        <d v="2024-11-25T00:00:00"/>
        <d v="2020-06-07T00:00:00"/>
        <d v="2019-11-09T00:00:00"/>
        <d v="2020-10-07T00:00:00"/>
        <d v="2023-07-27T00:00:00"/>
        <d v="2024-10-31T00:00:00"/>
        <d v="2024-12-01T00:00:00"/>
        <d v="2025-10-16T00:00:00"/>
        <d v="2021-07-02T00:00:00"/>
        <d v="2024-10-30T00:00:00"/>
        <d v="2025-04-20T00:00:00"/>
        <d v="2021-03-13T00:00:00"/>
        <d v="2024-01-14T00:00:00"/>
        <d v="2023-06-16T00:00:00"/>
        <d v="2024-03-16T00:00:00"/>
        <d v="2025-06-06T00:00:00"/>
        <d v="2019-06-26T00:00:00"/>
        <d v="2020-10-23T00:00:00"/>
        <d v="2021-08-06T00:00:00"/>
        <d v="2019-09-08T00:00:00"/>
        <d v="2019-12-20T00:00:00"/>
        <d v="2024-02-14T00:00:00"/>
        <d v="2026-04-09T00:00:00"/>
        <d v="2024-01-08T00:00:00"/>
        <d v="2022-01-08T00:00:00"/>
        <d v="2023-05-30T00:00:00"/>
        <d v="2020-11-04T00:00:00"/>
        <d v="2023-02-24T00:00:00"/>
        <d v="2019-02-01T00:00:00"/>
        <d v="2021-05-10T00:00:00"/>
        <d v="2024-01-07T00:00:00"/>
        <d v="2020-06-23T00:00:00"/>
        <d v="2022-06-01T00:00:00"/>
        <d v="2025-12-01T00:00:00"/>
        <d v="2021-05-06T00:00:00"/>
        <d v="2020-01-04T00:00:00"/>
        <d v="2025-02-28T00:00:00"/>
        <d v="2025-06-19T00:00:00"/>
        <d v="2025-01-21T00:00:00"/>
        <d v="2024-08-02T00:00:00"/>
        <d v="2022-08-31T00:00:00"/>
        <d v="2025-03-20T00:00:00"/>
        <d v="2026-02-06T00:00:00"/>
        <d v="2026-05-28T00:00:00"/>
        <d v="2020-09-06T00:00:00"/>
        <d v="2025-07-17T00:00:00"/>
        <d v="2024-09-13T00:00:00"/>
        <d v="2021-12-25T00:00:00"/>
        <d v="2025-07-26T00:00:00"/>
        <d v="2025-10-18T00:00:00"/>
        <d v="2025-11-24T00:00:00"/>
        <d v="2026-06-23T00:00:00"/>
        <d v="2026-07-08T00:00:00"/>
        <d v="2025-03-15T00:00:00"/>
        <d v="2025-11-10T00:00:00"/>
        <d v="2020-05-27T00:00:00"/>
        <d v="2025-12-27T00:00:00"/>
        <d v="2021-02-03T00:00:00"/>
        <d v="2021-03-02T00:00:00"/>
        <d v="2020-08-18T00:00:00"/>
        <d v="2023-04-11T00:00:00"/>
        <d v="2019-07-02T00:00:00"/>
        <d v="2025-09-21T00:00:00"/>
        <d v="2022-01-27T00:00:00"/>
        <d v="2022-10-10T00:00:00"/>
        <d v="2023-10-20T00:00:00"/>
        <d v="2026-03-04T00:00:00"/>
        <d v="2022-01-24T00:00:00"/>
        <d v="2025-08-08T00:00:00"/>
        <d v="2025-01-09T00:00:00"/>
        <d v="2019-02-21T00:00:00"/>
        <d v="2022-06-05T00:00:00"/>
        <d v="2021-11-05T00:00:00"/>
        <d v="2021-01-28T00:00:00"/>
        <d v="2022-06-21T00:00:00"/>
        <d v="2024-02-05T00:00:00"/>
        <d v="2019-01-24T00:00:00"/>
        <d v="2021-12-18T00:00:00"/>
        <d v="2025-04-12T00:00:00"/>
        <d v="2023-05-15T00:00:00"/>
        <d v="2023-10-17T00:00:00"/>
        <d v="2021-11-16T00:00:00"/>
        <d v="2020-09-21T00:00:00"/>
        <d v="2024-12-10T00:00:00"/>
        <d v="2021-04-23T00:00:00"/>
        <d v="2024-03-10T00:00:00"/>
        <d v="2022-01-02T00:00:00"/>
        <d v="2021-01-19T00:00:00"/>
        <d v="2026-03-22T00:00:00"/>
        <d v="2025-05-11T00:00:00"/>
        <d v="2024-02-21T00:00:00"/>
        <d v="2021-05-16T00:00:00"/>
        <d v="2024-12-31T00:00:00"/>
        <d v="2024-11-19T00:00:00"/>
        <d v="2020-06-04T00:00:00"/>
        <d v="2023-12-08T00:00:00"/>
        <d v="2025-07-12T00:00:00"/>
        <d v="2025-07-08T00:00:00"/>
        <d v="2024-10-09T00:00:00"/>
        <d v="2022-10-19T00:00:00"/>
        <d v="2019-11-19T00:00:00"/>
        <d v="2021-03-27T00:00:00"/>
        <d v="2019-04-01T00:00:00"/>
        <d v="2019-02-25T00:00:00"/>
        <d v="2022-05-17T00:00:00"/>
        <d v="2020-05-07T00:00:00"/>
        <d v="2026-08-18T00:00:00"/>
      </sharedItems>
      <fieldGroup par="29"/>
    </cacheField>
    <cacheField name="Education" numFmtId="0">
      <sharedItems/>
    </cacheField>
    <cacheField name="City" numFmtId="0">
      <sharedItems count="8">
        <s v="Pune"/>
        <s v="Bengaluru"/>
        <s v="Mumbai"/>
        <s v="Chennai"/>
        <s v="Delhi"/>
        <s v="Hyderabad"/>
        <s v="Visakhapatnam"/>
        <s v="Kolkata"/>
      </sharedItems>
    </cacheField>
    <cacheField name="Marital Status" numFmtId="0">
      <sharedItems/>
    </cacheField>
    <cacheField name="Years of Experience" numFmtId="0">
      <sharedItems containsSemiMixedTypes="0" containsString="0" containsNumber="1" containsInteger="1" minValue="0" maxValue="20"/>
    </cacheField>
    <cacheField name="Job Satisfaction" numFmtId="0">
      <sharedItems containsSemiMixedTypes="0" containsString="0" containsNumber="1" containsInteger="1" minValue="1" maxValue="5"/>
    </cacheField>
    <cacheField name="Work Life Balance" numFmtId="0">
      <sharedItems containsSemiMixedTypes="0" containsString="0" containsNumber="1" containsInteger="1" minValue="1" maxValue="5"/>
    </cacheField>
    <cacheField name="Performance Rating" numFmtId="0">
      <sharedItems/>
    </cacheField>
    <cacheField name="Overtime" numFmtId="0">
      <sharedItems/>
    </cacheField>
    <cacheField name="Monthly Hours" numFmtId="0">
      <sharedItems containsSemiMixedTypes="0" containsString="0" containsNumber="1" containsInteger="1" minValue="150" maxValue="260"/>
    </cacheField>
    <cacheField name="Training Hours" numFmtId="0">
      <sharedItems containsSemiMixedTypes="0" containsString="0" containsNumber="1" containsInteger="1" minValue="5" maxValue="80"/>
    </cacheField>
    <cacheField name="Leave Days" numFmtId="0">
      <sharedItems containsSemiMixedTypes="0" containsString="0" containsNumber="1" containsInteger="1" minValue="2" maxValue="30"/>
    </cacheField>
    <cacheField name="Remote Work" numFmtId="0">
      <sharedItems/>
    </cacheField>
    <cacheField name="Promotion in Last 2 Years" numFmtId="0">
      <sharedItems/>
    </cacheField>
    <cacheField name="Attrition" numFmtId="0">
      <sharedItems count="2">
        <s v="Yes"/>
        <s v="No"/>
      </sharedItems>
    </cacheField>
    <cacheField name="Employment Status" numFmtId="0">
      <sharedItems count="3">
        <s v="Resigned"/>
        <s v="Active"/>
        <s v="On Leave"/>
      </sharedItems>
    </cacheField>
    <cacheField name="Hire Year" numFmtId="0">
      <sharedItems containsSemiMixedTypes="0" containsString="0" containsNumber="1" containsInteger="1" minValue="2019" maxValue="2026"/>
    </cacheField>
    <cacheField name="Hire Month" numFmtId="0">
      <sharedItems/>
    </cacheField>
    <cacheField name="Age Group" numFmtId="0">
      <sharedItems/>
    </cacheField>
    <cacheField name="Salary Band" numFmtId="0">
      <sharedItems/>
    </cacheField>
    <cacheField name="Months (Hire Date)" numFmtId="0" databaseField="0">
      <fieldGroup base="7">
        <rangePr groupBy="months" startDate="2019-01-02T00:00:00" endDate="2026-08-23T00:00:00"/>
        <groupItems count="14">
          <s v="&lt;02-01-2019"/>
          <s v="Jan"/>
          <s v="Feb"/>
          <s v="Mar"/>
          <s v="Apr"/>
          <s v="May"/>
          <s v="Jun"/>
          <s v="Jul"/>
          <s v="Aug"/>
          <s v="Sep"/>
          <s v="Oct"/>
          <s v="Nov"/>
          <s v="Dec"/>
          <s v="&gt;23-08-2026"/>
        </groupItems>
      </fieldGroup>
    </cacheField>
    <cacheField name="Quarters (Hire Date)" numFmtId="0" databaseField="0">
      <fieldGroup base="7">
        <rangePr groupBy="quarters" startDate="2019-01-02T00:00:00" endDate="2026-08-23T00:00:00"/>
        <groupItems count="6">
          <s v="&lt;02-01-2019"/>
          <s v="Qtr1"/>
          <s v="Qtr2"/>
          <s v="Qtr3"/>
          <s v="Qtr4"/>
          <s v="&gt;23-08-2026"/>
        </groupItems>
      </fieldGroup>
    </cacheField>
    <cacheField name="Years (Hire Date)" numFmtId="0" databaseField="0">
      <fieldGroup base="7">
        <rangePr groupBy="years" startDate="2019-01-02T00:00:00" endDate="2026-08-23T00:00:00"/>
        <groupItems count="10">
          <s v="&lt;02-01-2019"/>
          <s v="2019"/>
          <s v="2020"/>
          <s v="2021"/>
          <s v="2022"/>
          <s v="2023"/>
          <s v="2024"/>
          <s v="2025"/>
          <s v="2026"/>
          <s v="&gt;23-08-2026"/>
        </groupItems>
      </fieldGroup>
    </cacheField>
  </cacheFields>
  <extLst>
    <ext xmlns:x14="http://schemas.microsoft.com/office/spreadsheetml/2009/9/main" uri="{725AE2AE-9491-48be-B2B4-4EB974FC3084}">
      <x14:pivotCacheDefinition pivotCacheId="712147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001"/>
    <x v="0"/>
    <x v="0"/>
    <x v="0"/>
    <x v="0"/>
    <s v="Mid-Level"/>
    <n v="49314"/>
    <x v="0"/>
    <s v="Master's"/>
    <x v="0"/>
    <s v="Divorced"/>
    <n v="3"/>
    <n v="5"/>
    <n v="1"/>
    <s v="Low"/>
    <s v="No"/>
    <n v="204"/>
    <n v="76"/>
    <n v="8"/>
    <s v="No"/>
    <s v="Yes"/>
    <x v="0"/>
    <x v="0"/>
    <n v="2020"/>
    <s v="Feb"/>
    <s v="31-35"/>
    <s v="40K-60K"/>
  </r>
  <r>
    <s v="E0002"/>
    <x v="1"/>
    <x v="1"/>
    <x v="1"/>
    <x v="1"/>
    <s v="Senior"/>
    <n v="65425"/>
    <x v="1"/>
    <s v="PhD"/>
    <x v="1"/>
    <s v="Married"/>
    <n v="7"/>
    <n v="3"/>
    <n v="3"/>
    <s v="Good"/>
    <s v="Yes"/>
    <n v="177"/>
    <n v="38"/>
    <n v="27"/>
    <s v="Yes"/>
    <s v="No"/>
    <x v="0"/>
    <x v="0"/>
    <n v="2023"/>
    <s v="Sep"/>
    <s v="31-35"/>
    <s v="60K-90K"/>
  </r>
  <r>
    <s v="E0003"/>
    <x v="1"/>
    <x v="2"/>
    <x v="2"/>
    <x v="2"/>
    <s v="Junior"/>
    <n v="37606"/>
    <x v="2"/>
    <s v="Bachelor's"/>
    <x v="0"/>
    <s v="Single"/>
    <n v="2"/>
    <n v="2"/>
    <n v="1"/>
    <s v="Excellent"/>
    <s v="Yes"/>
    <n v="234"/>
    <n v="40"/>
    <n v="16"/>
    <s v="No"/>
    <s v="No"/>
    <x v="1"/>
    <x v="1"/>
    <n v="2025"/>
    <s v="Jun"/>
    <s v="36-40"/>
    <s v="&lt;40K"/>
  </r>
  <r>
    <s v="E0004"/>
    <x v="0"/>
    <x v="3"/>
    <x v="3"/>
    <x v="3"/>
    <s v="Mid-Level"/>
    <n v="63960"/>
    <x v="3"/>
    <s v="PhD"/>
    <x v="2"/>
    <s v="Divorced"/>
    <n v="4"/>
    <n v="1"/>
    <n v="5"/>
    <s v="Average"/>
    <s v="No"/>
    <n v="171"/>
    <n v="46"/>
    <n v="28"/>
    <s v="Yes"/>
    <s v="No"/>
    <x v="1"/>
    <x v="1"/>
    <n v="2026"/>
    <s v="Apr"/>
    <s v="41-50"/>
    <s v="60K-90K"/>
  </r>
  <r>
    <s v="E0005"/>
    <x v="0"/>
    <x v="4"/>
    <x v="3"/>
    <x v="4"/>
    <s v="Senior"/>
    <n v="69337"/>
    <x v="4"/>
    <s v="PhD"/>
    <x v="3"/>
    <s v="Married"/>
    <n v="8"/>
    <n v="3"/>
    <n v="2"/>
    <s v="Average"/>
    <s v="No"/>
    <n v="213"/>
    <n v="36"/>
    <n v="25"/>
    <s v="No"/>
    <s v="No"/>
    <x v="1"/>
    <x v="1"/>
    <n v="2025"/>
    <s v="May"/>
    <s v="26-30"/>
    <s v="60K-90K"/>
  </r>
  <r>
    <s v="E0006"/>
    <x v="1"/>
    <x v="4"/>
    <x v="4"/>
    <x v="5"/>
    <s v="Mid-Level"/>
    <n v="46532"/>
    <x v="5"/>
    <s v="PhD"/>
    <x v="1"/>
    <s v="Married"/>
    <n v="6"/>
    <n v="1"/>
    <n v="1"/>
    <s v="Excellent"/>
    <s v="Yes"/>
    <n v="169"/>
    <n v="64"/>
    <n v="18"/>
    <s v="No"/>
    <s v="No"/>
    <x v="1"/>
    <x v="1"/>
    <n v="2024"/>
    <s v="Jul"/>
    <s v="26-30"/>
    <s v="40K-60K"/>
  </r>
  <r>
    <s v="E0007"/>
    <x v="0"/>
    <x v="5"/>
    <x v="5"/>
    <x v="6"/>
    <s v="Junior"/>
    <n v="37617"/>
    <x v="6"/>
    <s v="Master's"/>
    <x v="1"/>
    <s v="Divorced"/>
    <n v="3"/>
    <n v="4"/>
    <n v="1"/>
    <s v="Good"/>
    <s v="No"/>
    <n v="242"/>
    <n v="69"/>
    <n v="21"/>
    <s v="Yes"/>
    <s v="No"/>
    <x v="1"/>
    <x v="1"/>
    <n v="2020"/>
    <s v="Oct"/>
    <s v="41-50"/>
    <s v="&lt;40K"/>
  </r>
  <r>
    <s v="E0008"/>
    <x v="1"/>
    <x v="6"/>
    <x v="6"/>
    <x v="7"/>
    <s v="Senior"/>
    <n v="97021"/>
    <x v="7"/>
    <s v="Bachelor's"/>
    <x v="1"/>
    <s v="Divorced"/>
    <n v="5"/>
    <n v="3"/>
    <n v="3"/>
    <s v="Excellent"/>
    <s v="Yes"/>
    <n v="157"/>
    <n v="13"/>
    <n v="26"/>
    <s v="No"/>
    <s v="No"/>
    <x v="1"/>
    <x v="1"/>
    <n v="2020"/>
    <s v="Apr"/>
    <s v="36-40"/>
    <s v="90K-130K"/>
  </r>
  <r>
    <s v="E0009"/>
    <x v="0"/>
    <x v="7"/>
    <x v="7"/>
    <x v="8"/>
    <s v="Senior"/>
    <n v="99581"/>
    <x v="8"/>
    <s v="PhD"/>
    <x v="4"/>
    <s v="Married"/>
    <n v="14"/>
    <n v="2"/>
    <n v="5"/>
    <s v="Excellent"/>
    <s v="No"/>
    <n v="238"/>
    <n v="20"/>
    <n v="9"/>
    <s v="Yes"/>
    <s v="No"/>
    <x v="1"/>
    <x v="1"/>
    <n v="2023"/>
    <s v="Sep"/>
    <s v="26-30"/>
    <s v="90K-130K"/>
  </r>
  <r>
    <s v="E0010"/>
    <x v="1"/>
    <x v="0"/>
    <x v="0"/>
    <x v="9"/>
    <s v="Mid-Level"/>
    <n v="42235"/>
    <x v="9"/>
    <s v="Master's"/>
    <x v="2"/>
    <s v="Divorced"/>
    <n v="2"/>
    <n v="1"/>
    <n v="2"/>
    <s v="Excellent"/>
    <s v="Yes"/>
    <n v="154"/>
    <n v="32"/>
    <n v="19"/>
    <s v="Yes"/>
    <s v="No"/>
    <x v="0"/>
    <x v="0"/>
    <n v="2026"/>
    <s v="Jan"/>
    <s v="31-35"/>
    <s v="40K-60K"/>
  </r>
  <r>
    <s v="E0011"/>
    <x v="1"/>
    <x v="7"/>
    <x v="1"/>
    <x v="1"/>
    <s v="Manager"/>
    <n v="114957"/>
    <x v="10"/>
    <s v="Bachelor's"/>
    <x v="1"/>
    <s v="Single"/>
    <n v="9"/>
    <n v="4"/>
    <n v="3"/>
    <s v="Excellent"/>
    <s v="No"/>
    <n v="202"/>
    <n v="48"/>
    <n v="27"/>
    <s v="Yes"/>
    <s v="No"/>
    <x v="1"/>
    <x v="1"/>
    <n v="2020"/>
    <s v="Feb"/>
    <s v="26-30"/>
    <s v="90K-130K"/>
  </r>
  <r>
    <s v="E0012"/>
    <x v="0"/>
    <x v="7"/>
    <x v="1"/>
    <x v="1"/>
    <s v="Mid-Level"/>
    <n v="55824"/>
    <x v="11"/>
    <s v="Diploma"/>
    <x v="5"/>
    <s v="Single"/>
    <n v="3"/>
    <n v="4"/>
    <n v="2"/>
    <s v="Average"/>
    <s v="Yes"/>
    <n v="206"/>
    <n v="26"/>
    <n v="15"/>
    <s v="No"/>
    <s v="Yes"/>
    <x v="0"/>
    <x v="0"/>
    <n v="2022"/>
    <s v="Feb"/>
    <s v="26-30"/>
    <s v="40K-60K"/>
  </r>
  <r>
    <s v="E0013"/>
    <x v="1"/>
    <x v="8"/>
    <x v="1"/>
    <x v="1"/>
    <s v="Junior"/>
    <n v="33394"/>
    <x v="12"/>
    <s v="Diploma"/>
    <x v="6"/>
    <s v="Single"/>
    <n v="3"/>
    <n v="4"/>
    <n v="3"/>
    <s v="Average"/>
    <s v="No"/>
    <n v="186"/>
    <n v="42"/>
    <n v="8"/>
    <s v="Yes"/>
    <s v="No"/>
    <x v="1"/>
    <x v="1"/>
    <n v="2019"/>
    <s v="Jan"/>
    <s v="31-35"/>
    <s v="&lt;40K"/>
  </r>
  <r>
    <s v="E0014"/>
    <x v="1"/>
    <x v="9"/>
    <x v="0"/>
    <x v="10"/>
    <s v="Manager"/>
    <n v="155909"/>
    <x v="13"/>
    <s v="Bachelor's"/>
    <x v="0"/>
    <s v="Married"/>
    <n v="16"/>
    <n v="1"/>
    <n v="5"/>
    <s v="Low"/>
    <s v="Yes"/>
    <n v="258"/>
    <n v="77"/>
    <n v="9"/>
    <s v="No"/>
    <s v="No"/>
    <x v="0"/>
    <x v="0"/>
    <n v="2020"/>
    <s v="Oct"/>
    <s v="21-25"/>
    <s v="130K+"/>
  </r>
  <r>
    <s v="E0015"/>
    <x v="0"/>
    <x v="9"/>
    <x v="2"/>
    <x v="2"/>
    <s v="Senior"/>
    <n v="82089"/>
    <x v="14"/>
    <s v="MBA"/>
    <x v="6"/>
    <s v="Married"/>
    <n v="8"/>
    <n v="3"/>
    <n v="2"/>
    <s v="Low"/>
    <s v="No"/>
    <n v="200"/>
    <n v="6"/>
    <n v="16"/>
    <s v="No"/>
    <s v="No"/>
    <x v="1"/>
    <x v="1"/>
    <n v="2026"/>
    <s v="Jul"/>
    <s v="21-25"/>
    <s v="60K-90K"/>
  </r>
  <r>
    <s v="E0016"/>
    <x v="0"/>
    <x v="7"/>
    <x v="1"/>
    <x v="11"/>
    <s v="Mid-Level"/>
    <n v="53436"/>
    <x v="15"/>
    <s v="Diploma"/>
    <x v="5"/>
    <s v="Divorced"/>
    <n v="2"/>
    <n v="3"/>
    <n v="3"/>
    <s v="Good"/>
    <s v="Yes"/>
    <n v="206"/>
    <n v="18"/>
    <n v="30"/>
    <s v="Yes"/>
    <s v="No"/>
    <x v="1"/>
    <x v="1"/>
    <n v="2021"/>
    <s v="Sep"/>
    <s v="26-30"/>
    <s v="40K-60K"/>
  </r>
  <r>
    <s v="E0017"/>
    <x v="0"/>
    <x v="10"/>
    <x v="2"/>
    <x v="12"/>
    <s v="Senior"/>
    <n v="83465"/>
    <x v="16"/>
    <s v="MBA"/>
    <x v="5"/>
    <s v="Single"/>
    <n v="14"/>
    <n v="3"/>
    <n v="2"/>
    <s v="Excellent"/>
    <s v="No"/>
    <n v="231"/>
    <n v="40"/>
    <n v="3"/>
    <s v="Yes"/>
    <s v="No"/>
    <x v="1"/>
    <x v="1"/>
    <n v="2021"/>
    <s v="May"/>
    <s v="21-25"/>
    <s v="60K-90K"/>
  </r>
  <r>
    <s v="E0018"/>
    <x v="0"/>
    <x v="11"/>
    <x v="5"/>
    <x v="13"/>
    <s v="Manager"/>
    <n v="146057"/>
    <x v="17"/>
    <s v="Diploma"/>
    <x v="3"/>
    <s v="Married"/>
    <n v="16"/>
    <n v="1"/>
    <n v="1"/>
    <s v="Average"/>
    <s v="No"/>
    <n v="169"/>
    <n v="10"/>
    <n v="11"/>
    <s v="No"/>
    <s v="Yes"/>
    <x v="1"/>
    <x v="1"/>
    <n v="2019"/>
    <s v="Feb"/>
    <s v="31-35"/>
    <s v="130K+"/>
  </r>
  <r>
    <s v="E0019"/>
    <x v="1"/>
    <x v="12"/>
    <x v="1"/>
    <x v="14"/>
    <s v="Junior"/>
    <n v="39589"/>
    <x v="18"/>
    <s v="Bachelor's"/>
    <x v="3"/>
    <s v="Divorced"/>
    <n v="3"/>
    <n v="2"/>
    <n v="2"/>
    <s v="Good"/>
    <s v="Yes"/>
    <n v="252"/>
    <n v="57"/>
    <n v="27"/>
    <s v="No"/>
    <s v="No"/>
    <x v="1"/>
    <x v="1"/>
    <n v="2025"/>
    <s v="Dec"/>
    <s v="21-25"/>
    <s v="&lt;40K"/>
  </r>
  <r>
    <s v="E0020"/>
    <x v="1"/>
    <x v="13"/>
    <x v="6"/>
    <x v="7"/>
    <s v="Manager"/>
    <n v="95075"/>
    <x v="19"/>
    <s v="Master's"/>
    <x v="7"/>
    <s v="Married"/>
    <n v="15"/>
    <n v="2"/>
    <n v="4"/>
    <s v="Good"/>
    <s v="No"/>
    <n v="189"/>
    <n v="13"/>
    <n v="26"/>
    <s v="No"/>
    <s v="No"/>
    <x v="1"/>
    <x v="1"/>
    <n v="2021"/>
    <s v="Jun"/>
    <s v="21-25"/>
    <s v="90K-130K"/>
  </r>
  <r>
    <s v="E0021"/>
    <x v="1"/>
    <x v="3"/>
    <x v="3"/>
    <x v="15"/>
    <s v="Junior"/>
    <n v="36559"/>
    <x v="20"/>
    <s v="MBA"/>
    <x v="7"/>
    <s v="Divorced"/>
    <n v="1"/>
    <n v="3"/>
    <n v="1"/>
    <s v="Low"/>
    <s v="Yes"/>
    <n v="226"/>
    <n v="54"/>
    <n v="30"/>
    <s v="No"/>
    <s v="No"/>
    <x v="1"/>
    <x v="1"/>
    <n v="2025"/>
    <s v="Jul"/>
    <s v="41-50"/>
    <s v="&lt;40K"/>
  </r>
  <r>
    <s v="E0022"/>
    <x v="1"/>
    <x v="4"/>
    <x v="0"/>
    <x v="16"/>
    <s v="Junior"/>
    <n v="34456"/>
    <x v="21"/>
    <s v="MBA"/>
    <x v="2"/>
    <s v="Divorced"/>
    <n v="2"/>
    <n v="1"/>
    <n v="3"/>
    <s v="Excellent"/>
    <s v="No"/>
    <n v="190"/>
    <n v="46"/>
    <n v="14"/>
    <s v="No"/>
    <s v="Yes"/>
    <x v="1"/>
    <x v="1"/>
    <n v="2023"/>
    <s v="Nov"/>
    <s v="26-30"/>
    <s v="&lt;40K"/>
  </r>
  <r>
    <s v="E0023"/>
    <x v="0"/>
    <x v="14"/>
    <x v="1"/>
    <x v="1"/>
    <s v="Manager"/>
    <n v="112810"/>
    <x v="22"/>
    <s v="Master's"/>
    <x v="7"/>
    <s v="Divorced"/>
    <n v="17"/>
    <n v="3"/>
    <n v="4"/>
    <s v="Good"/>
    <s v="No"/>
    <n v="256"/>
    <n v="64"/>
    <n v="16"/>
    <s v="No"/>
    <s v="Yes"/>
    <x v="1"/>
    <x v="1"/>
    <n v="2025"/>
    <s v="May"/>
    <s v="31-35"/>
    <s v="90K-130K"/>
  </r>
  <r>
    <s v="E0024"/>
    <x v="1"/>
    <x v="13"/>
    <x v="6"/>
    <x v="7"/>
    <s v="Senior"/>
    <n v="98780"/>
    <x v="23"/>
    <s v="Master's"/>
    <x v="5"/>
    <s v="Single"/>
    <n v="14"/>
    <n v="1"/>
    <n v="2"/>
    <s v="Average"/>
    <s v="No"/>
    <n v="189"/>
    <n v="65"/>
    <n v="21"/>
    <s v="Yes"/>
    <s v="No"/>
    <x v="1"/>
    <x v="2"/>
    <n v="2022"/>
    <s v="Oct"/>
    <s v="21-25"/>
    <s v="90K-130K"/>
  </r>
  <r>
    <s v="E0025"/>
    <x v="1"/>
    <x v="7"/>
    <x v="1"/>
    <x v="1"/>
    <s v="Manager"/>
    <n v="142383"/>
    <x v="24"/>
    <s v="Diploma"/>
    <x v="6"/>
    <s v="Single"/>
    <n v="11"/>
    <n v="1"/>
    <n v="1"/>
    <s v="Average"/>
    <s v="No"/>
    <n v="178"/>
    <n v="20"/>
    <n v="16"/>
    <s v="Yes"/>
    <s v="No"/>
    <x v="1"/>
    <x v="2"/>
    <n v="2020"/>
    <s v="Aug"/>
    <s v="26-30"/>
    <s v="130K+"/>
  </r>
  <r>
    <s v="E0026"/>
    <x v="1"/>
    <x v="14"/>
    <x v="7"/>
    <x v="17"/>
    <s v="Manager"/>
    <n v="110861"/>
    <x v="25"/>
    <s v="Diploma"/>
    <x v="6"/>
    <s v="Divorced"/>
    <n v="19"/>
    <n v="4"/>
    <n v="3"/>
    <s v="Average"/>
    <s v="Yes"/>
    <n v="257"/>
    <n v="40"/>
    <n v="16"/>
    <s v="Yes"/>
    <s v="No"/>
    <x v="1"/>
    <x v="1"/>
    <n v="2024"/>
    <s v="Apr"/>
    <s v="31-35"/>
    <s v="90K-130K"/>
  </r>
  <r>
    <s v="E0027"/>
    <x v="0"/>
    <x v="15"/>
    <x v="5"/>
    <x v="6"/>
    <s v="Senior"/>
    <n v="100399"/>
    <x v="26"/>
    <s v="Bachelor's"/>
    <x v="7"/>
    <s v="Married"/>
    <n v="6"/>
    <n v="2"/>
    <n v="2"/>
    <s v="Good"/>
    <s v="No"/>
    <n v="238"/>
    <n v="74"/>
    <n v="16"/>
    <s v="No"/>
    <s v="No"/>
    <x v="1"/>
    <x v="1"/>
    <n v="2020"/>
    <s v="Jul"/>
    <s v="21-25"/>
    <s v="90K-130K"/>
  </r>
  <r>
    <s v="E0028"/>
    <x v="0"/>
    <x v="11"/>
    <x v="4"/>
    <x v="18"/>
    <s v="Junior"/>
    <n v="40464"/>
    <x v="27"/>
    <s v="Diploma"/>
    <x v="0"/>
    <s v="Married"/>
    <n v="3"/>
    <n v="3"/>
    <n v="3"/>
    <s v="Average"/>
    <s v="No"/>
    <n v="259"/>
    <n v="39"/>
    <n v="15"/>
    <s v="No"/>
    <s v="No"/>
    <x v="1"/>
    <x v="1"/>
    <n v="2019"/>
    <s v="Jan"/>
    <s v="31-35"/>
    <s v="40K-60K"/>
  </r>
  <r>
    <s v="E0029"/>
    <x v="1"/>
    <x v="16"/>
    <x v="3"/>
    <x v="4"/>
    <s v="Mid-Level"/>
    <n v="69541"/>
    <x v="28"/>
    <s v="PhD"/>
    <x v="3"/>
    <s v="Married"/>
    <n v="5"/>
    <n v="5"/>
    <n v="5"/>
    <s v="Average"/>
    <s v="Yes"/>
    <n v="200"/>
    <n v="11"/>
    <n v="10"/>
    <s v="No"/>
    <s v="Yes"/>
    <x v="0"/>
    <x v="0"/>
    <n v="2020"/>
    <s v="Jun"/>
    <s v="26-30"/>
    <s v="60K-90K"/>
  </r>
  <r>
    <s v="E0030"/>
    <x v="1"/>
    <x v="17"/>
    <x v="1"/>
    <x v="1"/>
    <s v="Senior"/>
    <n v="87118"/>
    <x v="29"/>
    <s v="Bachelor's"/>
    <x v="4"/>
    <s v="Single"/>
    <n v="11"/>
    <n v="4"/>
    <n v="3"/>
    <s v="Low"/>
    <s v="Yes"/>
    <n v="210"/>
    <n v="10"/>
    <n v="26"/>
    <s v="Yes"/>
    <s v="Yes"/>
    <x v="1"/>
    <x v="1"/>
    <n v="2022"/>
    <s v="Feb"/>
    <s v="26-30"/>
    <s v="60K-90K"/>
  </r>
  <r>
    <s v="E0031"/>
    <x v="0"/>
    <x v="16"/>
    <x v="0"/>
    <x v="9"/>
    <s v="Mid-Level"/>
    <n v="46136"/>
    <x v="30"/>
    <s v="Master's"/>
    <x v="1"/>
    <s v="Single"/>
    <n v="5"/>
    <n v="1"/>
    <n v="5"/>
    <s v="Good"/>
    <s v="Yes"/>
    <n v="209"/>
    <n v="18"/>
    <n v="20"/>
    <s v="Yes"/>
    <s v="No"/>
    <x v="1"/>
    <x v="1"/>
    <n v="2026"/>
    <s v="Jul"/>
    <s v="26-30"/>
    <s v="40K-60K"/>
  </r>
  <r>
    <s v="E0032"/>
    <x v="1"/>
    <x v="18"/>
    <x v="4"/>
    <x v="19"/>
    <s v="Junior"/>
    <n v="35957"/>
    <x v="31"/>
    <s v="PhD"/>
    <x v="4"/>
    <s v="Single"/>
    <n v="0"/>
    <n v="5"/>
    <n v="1"/>
    <s v="Good"/>
    <s v="No"/>
    <n v="250"/>
    <n v="6"/>
    <n v="29"/>
    <s v="No"/>
    <s v="Yes"/>
    <x v="1"/>
    <x v="2"/>
    <n v="2022"/>
    <s v="May"/>
    <s v="41-50"/>
    <s v="&lt;40K"/>
  </r>
  <r>
    <s v="E0033"/>
    <x v="0"/>
    <x v="1"/>
    <x v="4"/>
    <x v="5"/>
    <s v="Manager"/>
    <n v="110052"/>
    <x v="32"/>
    <s v="Diploma"/>
    <x v="2"/>
    <s v="Married"/>
    <n v="14"/>
    <n v="5"/>
    <n v="3"/>
    <s v="Average"/>
    <s v="No"/>
    <n v="253"/>
    <n v="16"/>
    <n v="10"/>
    <s v="No"/>
    <s v="No"/>
    <x v="1"/>
    <x v="1"/>
    <n v="2020"/>
    <s v="Dec"/>
    <s v="31-35"/>
    <s v="90K-130K"/>
  </r>
  <r>
    <s v="E0034"/>
    <x v="1"/>
    <x v="10"/>
    <x v="4"/>
    <x v="5"/>
    <s v="Junior"/>
    <n v="44197"/>
    <x v="33"/>
    <s v="Diploma"/>
    <x v="2"/>
    <s v="Divorced"/>
    <n v="2"/>
    <n v="4"/>
    <n v="2"/>
    <s v="Low"/>
    <s v="No"/>
    <n v="252"/>
    <n v="71"/>
    <n v="8"/>
    <s v="Yes"/>
    <s v="No"/>
    <x v="1"/>
    <x v="1"/>
    <n v="2021"/>
    <s v="Jan"/>
    <s v="21-25"/>
    <s v="40K-60K"/>
  </r>
  <r>
    <s v="E0035"/>
    <x v="1"/>
    <x v="6"/>
    <x v="7"/>
    <x v="8"/>
    <s v="Manager"/>
    <n v="154332"/>
    <x v="34"/>
    <s v="Diploma"/>
    <x v="4"/>
    <s v="Married"/>
    <n v="15"/>
    <n v="1"/>
    <n v="3"/>
    <s v="Good"/>
    <s v="Yes"/>
    <n v="201"/>
    <n v="59"/>
    <n v="25"/>
    <s v="No"/>
    <s v="No"/>
    <x v="1"/>
    <x v="1"/>
    <n v="2019"/>
    <s v="Mar"/>
    <s v="36-40"/>
    <s v="130K+"/>
  </r>
  <r>
    <s v="E0036"/>
    <x v="1"/>
    <x v="15"/>
    <x v="7"/>
    <x v="20"/>
    <s v="Senior"/>
    <n v="81475"/>
    <x v="35"/>
    <s v="PhD"/>
    <x v="2"/>
    <s v="Divorced"/>
    <n v="8"/>
    <n v="2"/>
    <n v="3"/>
    <s v="Good"/>
    <s v="Yes"/>
    <n v="245"/>
    <n v="17"/>
    <n v="28"/>
    <s v="Yes"/>
    <s v="No"/>
    <x v="0"/>
    <x v="0"/>
    <n v="2020"/>
    <s v="May"/>
    <s v="21-25"/>
    <s v="60K-90K"/>
  </r>
  <r>
    <s v="E0037"/>
    <x v="1"/>
    <x v="8"/>
    <x v="1"/>
    <x v="11"/>
    <s v="Mid-Level"/>
    <n v="51904"/>
    <x v="36"/>
    <s v="Master's"/>
    <x v="6"/>
    <s v="Single"/>
    <n v="2"/>
    <n v="2"/>
    <n v="3"/>
    <s v="Low"/>
    <s v="Yes"/>
    <n v="156"/>
    <n v="78"/>
    <n v="11"/>
    <s v="No"/>
    <s v="No"/>
    <x v="1"/>
    <x v="2"/>
    <n v="2024"/>
    <s v="Dec"/>
    <s v="31-35"/>
    <s v="40K-60K"/>
  </r>
  <r>
    <s v="E0038"/>
    <x v="1"/>
    <x v="9"/>
    <x v="3"/>
    <x v="21"/>
    <s v="Junior"/>
    <n v="36273"/>
    <x v="37"/>
    <s v="Diploma"/>
    <x v="2"/>
    <s v="Single"/>
    <n v="3"/>
    <n v="1"/>
    <n v="4"/>
    <s v="Average"/>
    <s v="No"/>
    <n v="159"/>
    <n v="20"/>
    <n v="19"/>
    <s v="No"/>
    <s v="Yes"/>
    <x v="1"/>
    <x v="1"/>
    <n v="2020"/>
    <s v="Apr"/>
    <s v="21-25"/>
    <s v="&lt;40K"/>
  </r>
  <r>
    <s v="E0039"/>
    <x v="1"/>
    <x v="13"/>
    <x v="7"/>
    <x v="17"/>
    <s v="Senior"/>
    <n v="103569"/>
    <x v="38"/>
    <s v="Master's"/>
    <x v="0"/>
    <s v="Married"/>
    <n v="11"/>
    <n v="5"/>
    <n v="5"/>
    <s v="Low"/>
    <s v="Yes"/>
    <n v="228"/>
    <n v="25"/>
    <n v="9"/>
    <s v="Yes"/>
    <s v="Yes"/>
    <x v="1"/>
    <x v="1"/>
    <n v="2022"/>
    <s v="Jun"/>
    <s v="21-25"/>
    <s v="90K-130K"/>
  </r>
  <r>
    <s v="E0040"/>
    <x v="0"/>
    <x v="8"/>
    <x v="0"/>
    <x v="16"/>
    <s v="Manager"/>
    <n v="151592"/>
    <x v="39"/>
    <s v="Master's"/>
    <x v="2"/>
    <s v="Divorced"/>
    <n v="12"/>
    <n v="2"/>
    <n v="3"/>
    <s v="Average"/>
    <s v="No"/>
    <n v="186"/>
    <n v="59"/>
    <n v="5"/>
    <s v="No"/>
    <s v="No"/>
    <x v="0"/>
    <x v="0"/>
    <n v="2019"/>
    <s v="May"/>
    <s v="31-35"/>
    <s v="130K+"/>
  </r>
  <r>
    <s v="E0041"/>
    <x v="0"/>
    <x v="6"/>
    <x v="6"/>
    <x v="22"/>
    <s v="Mid-Level"/>
    <n v="44339"/>
    <x v="40"/>
    <s v="PhD"/>
    <x v="2"/>
    <s v="Divorced"/>
    <n v="2"/>
    <n v="3"/>
    <n v="5"/>
    <s v="Excellent"/>
    <s v="No"/>
    <n v="255"/>
    <n v="39"/>
    <n v="18"/>
    <s v="No"/>
    <s v="No"/>
    <x v="1"/>
    <x v="2"/>
    <n v="2020"/>
    <s v="Nov"/>
    <s v="36-40"/>
    <s v="40K-60K"/>
  </r>
  <r>
    <s v="E0042"/>
    <x v="1"/>
    <x v="8"/>
    <x v="2"/>
    <x v="23"/>
    <s v="Manager"/>
    <n v="132247"/>
    <x v="41"/>
    <s v="MBA"/>
    <x v="5"/>
    <s v="Single"/>
    <n v="17"/>
    <n v="1"/>
    <n v="1"/>
    <s v="Excellent"/>
    <s v="Yes"/>
    <n v="236"/>
    <n v="71"/>
    <n v="22"/>
    <s v="No"/>
    <s v="Yes"/>
    <x v="1"/>
    <x v="1"/>
    <n v="2021"/>
    <s v="Oct"/>
    <s v="31-35"/>
    <s v="130K+"/>
  </r>
  <r>
    <s v="E0043"/>
    <x v="0"/>
    <x v="1"/>
    <x v="4"/>
    <x v="18"/>
    <s v="Junior"/>
    <n v="43401"/>
    <x v="42"/>
    <s v="PhD"/>
    <x v="2"/>
    <s v="Divorced"/>
    <n v="2"/>
    <n v="3"/>
    <n v="3"/>
    <s v="Excellent"/>
    <s v="No"/>
    <n v="163"/>
    <n v="75"/>
    <n v="3"/>
    <s v="No"/>
    <s v="No"/>
    <x v="1"/>
    <x v="1"/>
    <n v="2023"/>
    <s v="Jul"/>
    <s v="31-35"/>
    <s v="40K-60K"/>
  </r>
  <r>
    <s v="E0044"/>
    <x v="1"/>
    <x v="17"/>
    <x v="5"/>
    <x v="6"/>
    <s v="Junior"/>
    <n v="41244"/>
    <x v="43"/>
    <s v="Diploma"/>
    <x v="6"/>
    <s v="Divorced"/>
    <n v="0"/>
    <n v="5"/>
    <n v="4"/>
    <s v="Excellent"/>
    <s v="No"/>
    <n v="156"/>
    <n v="11"/>
    <n v="8"/>
    <s v="No"/>
    <s v="No"/>
    <x v="1"/>
    <x v="1"/>
    <n v="2026"/>
    <s v="May"/>
    <s v="26-30"/>
    <s v="40K-60K"/>
  </r>
  <r>
    <s v="E0045"/>
    <x v="1"/>
    <x v="9"/>
    <x v="7"/>
    <x v="17"/>
    <s v="Junior"/>
    <n v="28945"/>
    <x v="44"/>
    <s v="Bachelor's"/>
    <x v="6"/>
    <s v="Single"/>
    <n v="1"/>
    <n v="3"/>
    <n v="5"/>
    <s v="Average"/>
    <s v="Yes"/>
    <n v="220"/>
    <n v="68"/>
    <n v="24"/>
    <s v="No"/>
    <s v="No"/>
    <x v="0"/>
    <x v="0"/>
    <n v="2020"/>
    <s v="Oct"/>
    <s v="21-25"/>
    <s v="&lt;40K"/>
  </r>
  <r>
    <s v="E0046"/>
    <x v="1"/>
    <x v="19"/>
    <x v="4"/>
    <x v="18"/>
    <s v="Manager"/>
    <n v="121946"/>
    <x v="45"/>
    <s v="MBA"/>
    <x v="7"/>
    <s v="Married"/>
    <n v="15"/>
    <n v="2"/>
    <n v="4"/>
    <s v="Good"/>
    <s v="Yes"/>
    <n v="226"/>
    <n v="5"/>
    <n v="11"/>
    <s v="No"/>
    <s v="No"/>
    <x v="1"/>
    <x v="1"/>
    <n v="2025"/>
    <s v="Mar"/>
    <s v="26-30"/>
    <s v="90K-130K"/>
  </r>
  <r>
    <s v="E0047"/>
    <x v="1"/>
    <x v="7"/>
    <x v="6"/>
    <x v="24"/>
    <s v="Manager"/>
    <n v="135236"/>
    <x v="46"/>
    <s v="Master's"/>
    <x v="7"/>
    <s v="Single"/>
    <n v="13"/>
    <n v="5"/>
    <n v="4"/>
    <s v="Excellent"/>
    <s v="No"/>
    <n v="191"/>
    <n v="10"/>
    <n v="12"/>
    <s v="No"/>
    <s v="No"/>
    <x v="1"/>
    <x v="2"/>
    <n v="2025"/>
    <s v="Mar"/>
    <s v="26-30"/>
    <s v="130K+"/>
  </r>
  <r>
    <s v="E0048"/>
    <x v="1"/>
    <x v="20"/>
    <x v="4"/>
    <x v="19"/>
    <s v="Manager"/>
    <n v="94852"/>
    <x v="47"/>
    <s v="PhD"/>
    <x v="5"/>
    <s v="Divorced"/>
    <n v="10"/>
    <n v="5"/>
    <n v="3"/>
    <s v="Average"/>
    <s v="Yes"/>
    <n v="258"/>
    <n v="57"/>
    <n v="29"/>
    <s v="No"/>
    <s v="No"/>
    <x v="0"/>
    <x v="0"/>
    <n v="2024"/>
    <s v="Aug"/>
    <s v="36-40"/>
    <s v="90K-130K"/>
  </r>
  <r>
    <s v="E0049"/>
    <x v="0"/>
    <x v="11"/>
    <x v="2"/>
    <x v="2"/>
    <s v="Senior"/>
    <n v="87187"/>
    <x v="48"/>
    <s v="PhD"/>
    <x v="5"/>
    <s v="Divorced"/>
    <n v="14"/>
    <n v="1"/>
    <n v="3"/>
    <s v="Low"/>
    <s v="No"/>
    <n v="259"/>
    <n v="35"/>
    <n v="22"/>
    <s v="No"/>
    <s v="No"/>
    <x v="1"/>
    <x v="1"/>
    <n v="2023"/>
    <s v="Jun"/>
    <s v="31-35"/>
    <s v="60K-90K"/>
  </r>
  <r>
    <s v="E0050"/>
    <x v="0"/>
    <x v="9"/>
    <x v="2"/>
    <x v="2"/>
    <s v="Junior"/>
    <n v="31293"/>
    <x v="49"/>
    <s v="MBA"/>
    <x v="7"/>
    <s v="Single"/>
    <n v="3"/>
    <n v="3"/>
    <n v="1"/>
    <s v="Average"/>
    <s v="Yes"/>
    <n v="191"/>
    <n v="72"/>
    <n v="15"/>
    <s v="No"/>
    <s v="Yes"/>
    <x v="1"/>
    <x v="1"/>
    <n v="2020"/>
    <s v="Nov"/>
    <s v="21-25"/>
    <s v="&lt;40K"/>
  </r>
  <r>
    <s v="E0051"/>
    <x v="0"/>
    <x v="11"/>
    <x v="6"/>
    <x v="7"/>
    <s v="Manager"/>
    <n v="121566"/>
    <x v="50"/>
    <s v="Bachelor's"/>
    <x v="6"/>
    <s v="Married"/>
    <n v="15"/>
    <n v="2"/>
    <n v="2"/>
    <s v="Average"/>
    <s v="No"/>
    <n v="231"/>
    <n v="14"/>
    <n v="16"/>
    <s v="No"/>
    <s v="No"/>
    <x v="1"/>
    <x v="1"/>
    <n v="2025"/>
    <s v="Jul"/>
    <s v="31-35"/>
    <s v="90K-130K"/>
  </r>
  <r>
    <s v="E0052"/>
    <x v="1"/>
    <x v="17"/>
    <x v="5"/>
    <x v="25"/>
    <s v="Senior"/>
    <n v="78055"/>
    <x v="51"/>
    <s v="MBA"/>
    <x v="5"/>
    <s v="Divorced"/>
    <n v="11"/>
    <n v="1"/>
    <n v="2"/>
    <s v="Excellent"/>
    <s v="No"/>
    <n v="223"/>
    <n v="40"/>
    <n v="2"/>
    <s v="No"/>
    <s v="No"/>
    <x v="1"/>
    <x v="1"/>
    <n v="2024"/>
    <s v="Jun"/>
    <s v="26-30"/>
    <s v="60K-90K"/>
  </r>
  <r>
    <s v="E0053"/>
    <x v="1"/>
    <x v="16"/>
    <x v="5"/>
    <x v="13"/>
    <s v="Senior"/>
    <n v="79352"/>
    <x v="52"/>
    <s v="PhD"/>
    <x v="5"/>
    <s v="Divorced"/>
    <n v="8"/>
    <n v="3"/>
    <n v="2"/>
    <s v="Good"/>
    <s v="No"/>
    <n v="162"/>
    <n v="21"/>
    <n v="4"/>
    <s v="No"/>
    <s v="Yes"/>
    <x v="1"/>
    <x v="1"/>
    <n v="2025"/>
    <s v="Dec"/>
    <s v="26-30"/>
    <s v="60K-90K"/>
  </r>
  <r>
    <s v="E0054"/>
    <x v="1"/>
    <x v="2"/>
    <x v="6"/>
    <x v="26"/>
    <s v="Mid-Level"/>
    <n v="67772"/>
    <x v="53"/>
    <s v="PhD"/>
    <x v="2"/>
    <s v="Divorced"/>
    <n v="6"/>
    <n v="5"/>
    <n v="5"/>
    <s v="Good"/>
    <s v="No"/>
    <n v="256"/>
    <n v="19"/>
    <n v="16"/>
    <s v="Yes"/>
    <s v="No"/>
    <x v="1"/>
    <x v="1"/>
    <n v="2023"/>
    <s v="Feb"/>
    <s v="36-40"/>
    <s v="60K-90K"/>
  </r>
  <r>
    <s v="E0055"/>
    <x v="0"/>
    <x v="20"/>
    <x v="4"/>
    <x v="5"/>
    <s v="Junior"/>
    <n v="40929"/>
    <x v="54"/>
    <s v="MBA"/>
    <x v="1"/>
    <s v="Divorced"/>
    <n v="0"/>
    <n v="5"/>
    <n v="1"/>
    <s v="Average"/>
    <s v="No"/>
    <n v="197"/>
    <n v="65"/>
    <n v="2"/>
    <s v="No"/>
    <s v="No"/>
    <x v="1"/>
    <x v="1"/>
    <n v="2021"/>
    <s v="Dec"/>
    <s v="36-40"/>
    <s v="40K-60K"/>
  </r>
  <r>
    <s v="E0056"/>
    <x v="0"/>
    <x v="21"/>
    <x v="2"/>
    <x v="2"/>
    <s v="Senior"/>
    <n v="107548"/>
    <x v="55"/>
    <s v="Master's"/>
    <x v="3"/>
    <s v="Married"/>
    <n v="11"/>
    <n v="2"/>
    <n v="1"/>
    <s v="Excellent"/>
    <s v="Yes"/>
    <n v="188"/>
    <n v="52"/>
    <n v="23"/>
    <s v="No"/>
    <s v="No"/>
    <x v="0"/>
    <x v="0"/>
    <n v="2020"/>
    <s v="Apr"/>
    <s v="36-40"/>
    <s v="90K-130K"/>
  </r>
  <r>
    <s v="E0057"/>
    <x v="1"/>
    <x v="19"/>
    <x v="6"/>
    <x v="24"/>
    <s v="Junior"/>
    <n v="44034"/>
    <x v="56"/>
    <s v="MBA"/>
    <x v="1"/>
    <s v="Divorced"/>
    <n v="3"/>
    <n v="1"/>
    <n v="3"/>
    <s v="Good"/>
    <s v="Yes"/>
    <n v="206"/>
    <n v="74"/>
    <n v="30"/>
    <s v="No"/>
    <s v="No"/>
    <x v="1"/>
    <x v="1"/>
    <n v="2022"/>
    <s v="Feb"/>
    <s v="26-30"/>
    <s v="40K-60K"/>
  </r>
  <r>
    <s v="E0058"/>
    <x v="0"/>
    <x v="17"/>
    <x v="4"/>
    <x v="5"/>
    <s v="Mid-Level"/>
    <n v="46002"/>
    <x v="57"/>
    <s v="Master's"/>
    <x v="0"/>
    <s v="Single"/>
    <n v="5"/>
    <n v="2"/>
    <n v="5"/>
    <s v="Average"/>
    <s v="Yes"/>
    <n v="156"/>
    <n v="80"/>
    <n v="8"/>
    <s v="Yes"/>
    <s v="No"/>
    <x v="1"/>
    <x v="1"/>
    <n v="2020"/>
    <s v="Jan"/>
    <s v="26-30"/>
    <s v="40K-60K"/>
  </r>
  <r>
    <s v="E0059"/>
    <x v="0"/>
    <x v="11"/>
    <x v="0"/>
    <x v="0"/>
    <s v="Mid-Level"/>
    <n v="46259"/>
    <x v="58"/>
    <s v="MBA"/>
    <x v="0"/>
    <s v="Divorced"/>
    <n v="6"/>
    <n v="2"/>
    <n v="1"/>
    <s v="Good"/>
    <s v="No"/>
    <n v="260"/>
    <n v="7"/>
    <n v="7"/>
    <s v="No"/>
    <s v="Yes"/>
    <x v="0"/>
    <x v="0"/>
    <n v="2021"/>
    <s v="Oct"/>
    <s v="31-35"/>
    <s v="40K-60K"/>
  </r>
  <r>
    <s v="E0060"/>
    <x v="0"/>
    <x v="21"/>
    <x v="6"/>
    <x v="24"/>
    <s v="Junior"/>
    <n v="30082"/>
    <x v="59"/>
    <s v="Diploma"/>
    <x v="5"/>
    <s v="Divorced"/>
    <n v="3"/>
    <n v="3"/>
    <n v="5"/>
    <s v="Good"/>
    <s v="No"/>
    <n v="163"/>
    <n v="63"/>
    <n v="22"/>
    <s v="Yes"/>
    <s v="No"/>
    <x v="1"/>
    <x v="1"/>
    <n v="2024"/>
    <s v="Jan"/>
    <s v="36-40"/>
    <s v="&lt;40K"/>
  </r>
  <r>
    <s v="E0061"/>
    <x v="1"/>
    <x v="7"/>
    <x v="4"/>
    <x v="18"/>
    <s v="Junior"/>
    <n v="44065"/>
    <x v="60"/>
    <s v="Diploma"/>
    <x v="4"/>
    <s v="Married"/>
    <n v="3"/>
    <n v="1"/>
    <n v="3"/>
    <s v="Good"/>
    <s v="No"/>
    <n v="168"/>
    <n v="63"/>
    <n v="18"/>
    <s v="No"/>
    <s v="Yes"/>
    <x v="0"/>
    <x v="0"/>
    <n v="2019"/>
    <s v="Oct"/>
    <s v="26-30"/>
    <s v="40K-60K"/>
  </r>
  <r>
    <s v="E0062"/>
    <x v="1"/>
    <x v="4"/>
    <x v="2"/>
    <x v="23"/>
    <s v="Mid-Level"/>
    <n v="56092"/>
    <x v="61"/>
    <s v="MBA"/>
    <x v="7"/>
    <s v="Married"/>
    <n v="5"/>
    <n v="4"/>
    <n v="3"/>
    <s v="Good"/>
    <s v="No"/>
    <n v="201"/>
    <n v="52"/>
    <n v="6"/>
    <s v="No"/>
    <s v="No"/>
    <x v="1"/>
    <x v="2"/>
    <n v="2021"/>
    <s v="Jul"/>
    <s v="26-30"/>
    <s v="40K-60K"/>
  </r>
  <r>
    <s v="E0063"/>
    <x v="0"/>
    <x v="10"/>
    <x v="2"/>
    <x v="23"/>
    <s v="Junior"/>
    <n v="42151"/>
    <x v="62"/>
    <s v="PhD"/>
    <x v="4"/>
    <s v="Divorced"/>
    <n v="0"/>
    <n v="2"/>
    <n v="5"/>
    <s v="Excellent"/>
    <s v="Yes"/>
    <n v="225"/>
    <n v="11"/>
    <n v="11"/>
    <s v="No"/>
    <s v="No"/>
    <x v="1"/>
    <x v="1"/>
    <n v="2023"/>
    <s v="Mar"/>
    <s v="21-25"/>
    <s v="40K-60K"/>
  </r>
  <r>
    <s v="E0064"/>
    <x v="1"/>
    <x v="15"/>
    <x v="2"/>
    <x v="12"/>
    <s v="Mid-Level"/>
    <n v="63519"/>
    <x v="63"/>
    <s v="Diploma"/>
    <x v="0"/>
    <s v="Married"/>
    <n v="5"/>
    <n v="1"/>
    <n v="3"/>
    <s v="Low"/>
    <s v="No"/>
    <n v="197"/>
    <n v="39"/>
    <n v="2"/>
    <s v="Yes"/>
    <s v="Yes"/>
    <x v="1"/>
    <x v="1"/>
    <n v="2021"/>
    <s v="Jul"/>
    <s v="21-25"/>
    <s v="60K-90K"/>
  </r>
  <r>
    <s v="E0065"/>
    <x v="1"/>
    <x v="6"/>
    <x v="3"/>
    <x v="3"/>
    <s v="Junior"/>
    <n v="33944"/>
    <x v="64"/>
    <s v="Diploma"/>
    <x v="0"/>
    <s v="Married"/>
    <n v="1"/>
    <n v="4"/>
    <n v="1"/>
    <s v="Excellent"/>
    <s v="Yes"/>
    <n v="244"/>
    <n v="63"/>
    <n v="12"/>
    <s v="Yes"/>
    <s v="Yes"/>
    <x v="0"/>
    <x v="0"/>
    <n v="2025"/>
    <s v="May"/>
    <s v="36-40"/>
    <s v="&lt;40K"/>
  </r>
  <r>
    <s v="E0066"/>
    <x v="1"/>
    <x v="22"/>
    <x v="5"/>
    <x v="6"/>
    <s v="Junior"/>
    <n v="29723"/>
    <x v="13"/>
    <s v="PhD"/>
    <x v="6"/>
    <s v="Divorced"/>
    <n v="1"/>
    <n v="5"/>
    <n v="1"/>
    <s v="Excellent"/>
    <s v="No"/>
    <n v="160"/>
    <n v="58"/>
    <n v="10"/>
    <s v="Yes"/>
    <s v="No"/>
    <x v="1"/>
    <x v="1"/>
    <n v="2020"/>
    <s v="Oct"/>
    <s v="41-50"/>
    <s v="&lt;40K"/>
  </r>
  <r>
    <s v="E0067"/>
    <x v="1"/>
    <x v="1"/>
    <x v="4"/>
    <x v="27"/>
    <s v="Senior"/>
    <n v="109447"/>
    <x v="65"/>
    <s v="Bachelor's"/>
    <x v="5"/>
    <s v="Single"/>
    <n v="14"/>
    <n v="5"/>
    <n v="3"/>
    <s v="Good"/>
    <s v="Yes"/>
    <n v="178"/>
    <n v="32"/>
    <n v="26"/>
    <s v="Yes"/>
    <s v="No"/>
    <x v="1"/>
    <x v="1"/>
    <n v="2024"/>
    <s v="Jun"/>
    <s v="31-35"/>
    <s v="90K-130K"/>
  </r>
  <r>
    <s v="E0068"/>
    <x v="1"/>
    <x v="20"/>
    <x v="3"/>
    <x v="15"/>
    <s v="Junior"/>
    <n v="44298"/>
    <x v="66"/>
    <s v="MBA"/>
    <x v="1"/>
    <s v="Married"/>
    <n v="3"/>
    <n v="2"/>
    <n v="4"/>
    <s v="Low"/>
    <s v="No"/>
    <n v="240"/>
    <n v="60"/>
    <n v="2"/>
    <s v="No"/>
    <s v="No"/>
    <x v="1"/>
    <x v="1"/>
    <n v="2020"/>
    <s v="Dec"/>
    <s v="36-40"/>
    <s v="40K-60K"/>
  </r>
  <r>
    <s v="E0069"/>
    <x v="1"/>
    <x v="11"/>
    <x v="4"/>
    <x v="18"/>
    <s v="Manager"/>
    <n v="127947"/>
    <x v="67"/>
    <s v="MBA"/>
    <x v="1"/>
    <s v="Married"/>
    <n v="9"/>
    <n v="1"/>
    <n v="3"/>
    <s v="Low"/>
    <s v="Yes"/>
    <n v="252"/>
    <n v="36"/>
    <n v="15"/>
    <s v="No"/>
    <s v="No"/>
    <x v="1"/>
    <x v="2"/>
    <n v="2023"/>
    <s v="Jul"/>
    <s v="31-35"/>
    <s v="90K-130K"/>
  </r>
  <r>
    <s v="E0070"/>
    <x v="0"/>
    <x v="16"/>
    <x v="4"/>
    <x v="5"/>
    <s v="Senior"/>
    <n v="79520"/>
    <x v="68"/>
    <s v="MBA"/>
    <x v="4"/>
    <s v="Divorced"/>
    <n v="10"/>
    <n v="1"/>
    <n v="5"/>
    <s v="Average"/>
    <s v="No"/>
    <n v="164"/>
    <n v="35"/>
    <n v="5"/>
    <s v="Yes"/>
    <s v="No"/>
    <x v="1"/>
    <x v="1"/>
    <n v="2020"/>
    <s v="Nov"/>
    <s v="26-30"/>
    <s v="60K-90K"/>
  </r>
  <r>
    <s v="E0071"/>
    <x v="0"/>
    <x v="11"/>
    <x v="6"/>
    <x v="26"/>
    <s v="Junior"/>
    <n v="33804"/>
    <x v="69"/>
    <s v="MBA"/>
    <x v="3"/>
    <s v="Married"/>
    <n v="3"/>
    <n v="5"/>
    <n v="5"/>
    <s v="Low"/>
    <s v="No"/>
    <n v="237"/>
    <n v="65"/>
    <n v="16"/>
    <s v="No"/>
    <s v="No"/>
    <x v="1"/>
    <x v="1"/>
    <n v="2024"/>
    <s v="Mar"/>
    <s v="31-35"/>
    <s v="&lt;40K"/>
  </r>
  <r>
    <s v="E0072"/>
    <x v="1"/>
    <x v="3"/>
    <x v="0"/>
    <x v="0"/>
    <s v="Junior"/>
    <n v="38171"/>
    <x v="70"/>
    <s v="Bachelor's"/>
    <x v="7"/>
    <s v="Married"/>
    <n v="3"/>
    <n v="1"/>
    <n v="1"/>
    <s v="Low"/>
    <s v="No"/>
    <n v="256"/>
    <n v="62"/>
    <n v="27"/>
    <s v="No"/>
    <s v="No"/>
    <x v="0"/>
    <x v="0"/>
    <n v="2024"/>
    <s v="Jan"/>
    <s v="41-50"/>
    <s v="&lt;40K"/>
  </r>
  <r>
    <s v="E0073"/>
    <x v="0"/>
    <x v="1"/>
    <x v="3"/>
    <x v="4"/>
    <s v="Mid-Level"/>
    <n v="44027"/>
    <x v="71"/>
    <s v="PhD"/>
    <x v="6"/>
    <s v="Divorced"/>
    <n v="5"/>
    <n v="3"/>
    <n v="1"/>
    <s v="Average"/>
    <s v="No"/>
    <n v="232"/>
    <n v="51"/>
    <n v="13"/>
    <s v="No"/>
    <s v="No"/>
    <x v="0"/>
    <x v="0"/>
    <n v="2020"/>
    <s v="Feb"/>
    <s v="31-35"/>
    <s v="40K-60K"/>
  </r>
  <r>
    <s v="E0074"/>
    <x v="1"/>
    <x v="3"/>
    <x v="4"/>
    <x v="5"/>
    <s v="Junior"/>
    <n v="38965"/>
    <x v="72"/>
    <s v="Diploma"/>
    <x v="3"/>
    <s v="Married"/>
    <n v="0"/>
    <n v="1"/>
    <n v="5"/>
    <s v="Low"/>
    <s v="No"/>
    <n v="199"/>
    <n v="79"/>
    <n v="23"/>
    <s v="Yes"/>
    <s v="No"/>
    <x v="1"/>
    <x v="1"/>
    <n v="2022"/>
    <s v="Sep"/>
    <s v="41-50"/>
    <s v="&lt;40K"/>
  </r>
  <r>
    <s v="E0075"/>
    <x v="1"/>
    <x v="9"/>
    <x v="4"/>
    <x v="19"/>
    <s v="Junior"/>
    <n v="38144"/>
    <x v="73"/>
    <s v="PhD"/>
    <x v="4"/>
    <s v="Single"/>
    <n v="3"/>
    <n v="3"/>
    <n v="2"/>
    <s v="Good"/>
    <s v="No"/>
    <n v="239"/>
    <n v="44"/>
    <n v="7"/>
    <s v="Yes"/>
    <s v="Yes"/>
    <x v="1"/>
    <x v="1"/>
    <n v="2026"/>
    <s v="Mar"/>
    <s v="21-25"/>
    <s v="&lt;40K"/>
  </r>
  <r>
    <s v="E0076"/>
    <x v="1"/>
    <x v="6"/>
    <x v="1"/>
    <x v="14"/>
    <s v="Mid-Level"/>
    <n v="47077"/>
    <x v="74"/>
    <s v="Diploma"/>
    <x v="3"/>
    <s v="Divorced"/>
    <n v="2"/>
    <n v="1"/>
    <n v="5"/>
    <s v="Excellent"/>
    <s v="No"/>
    <n v="256"/>
    <n v="24"/>
    <n v="7"/>
    <s v="Yes"/>
    <s v="Yes"/>
    <x v="1"/>
    <x v="1"/>
    <n v="2022"/>
    <s v="Apr"/>
    <s v="36-40"/>
    <s v="40K-60K"/>
  </r>
  <r>
    <s v="E0077"/>
    <x v="1"/>
    <x v="14"/>
    <x v="0"/>
    <x v="16"/>
    <s v="Senior"/>
    <n v="109326"/>
    <x v="75"/>
    <s v="Master's"/>
    <x v="2"/>
    <s v="Married"/>
    <n v="8"/>
    <n v="5"/>
    <n v="3"/>
    <s v="Average"/>
    <s v="No"/>
    <n v="250"/>
    <n v="52"/>
    <n v="23"/>
    <s v="No"/>
    <s v="No"/>
    <x v="1"/>
    <x v="2"/>
    <n v="2023"/>
    <s v="Dec"/>
    <s v="31-35"/>
    <s v="90K-130K"/>
  </r>
  <r>
    <s v="E0078"/>
    <x v="1"/>
    <x v="17"/>
    <x v="5"/>
    <x v="25"/>
    <s v="Manager"/>
    <n v="111241"/>
    <x v="76"/>
    <s v="Diploma"/>
    <x v="1"/>
    <s v="Divorced"/>
    <n v="11"/>
    <n v="2"/>
    <n v="3"/>
    <s v="Low"/>
    <s v="Yes"/>
    <n v="232"/>
    <n v="41"/>
    <n v="4"/>
    <s v="Yes"/>
    <s v="No"/>
    <x v="1"/>
    <x v="1"/>
    <n v="2025"/>
    <s v="Oct"/>
    <s v="26-30"/>
    <s v="90K-130K"/>
  </r>
  <r>
    <s v="E0079"/>
    <x v="1"/>
    <x v="14"/>
    <x v="6"/>
    <x v="24"/>
    <s v="Junior"/>
    <n v="35275"/>
    <x v="77"/>
    <s v="Bachelor's"/>
    <x v="4"/>
    <s v="Single"/>
    <n v="3"/>
    <n v="1"/>
    <n v="4"/>
    <s v="Low"/>
    <s v="Yes"/>
    <n v="200"/>
    <n v="45"/>
    <n v="5"/>
    <s v="No"/>
    <s v="No"/>
    <x v="1"/>
    <x v="1"/>
    <n v="2022"/>
    <s v="Dec"/>
    <s v="31-35"/>
    <s v="&lt;40K"/>
  </r>
  <r>
    <s v="E0080"/>
    <x v="0"/>
    <x v="9"/>
    <x v="6"/>
    <x v="7"/>
    <s v="Senior"/>
    <n v="95962"/>
    <x v="78"/>
    <s v="Master's"/>
    <x v="7"/>
    <s v="Single"/>
    <n v="7"/>
    <n v="4"/>
    <n v="5"/>
    <s v="Good"/>
    <s v="Yes"/>
    <n v="160"/>
    <n v="35"/>
    <n v="11"/>
    <s v="Yes"/>
    <s v="Yes"/>
    <x v="1"/>
    <x v="1"/>
    <n v="2024"/>
    <s v="Apr"/>
    <s v="21-25"/>
    <s v="90K-130K"/>
  </r>
  <r>
    <s v="E0081"/>
    <x v="0"/>
    <x v="4"/>
    <x v="4"/>
    <x v="18"/>
    <s v="Junior"/>
    <n v="31632"/>
    <x v="79"/>
    <s v="MBA"/>
    <x v="7"/>
    <s v="Single"/>
    <n v="3"/>
    <n v="5"/>
    <n v="1"/>
    <s v="Good"/>
    <s v="No"/>
    <n v="215"/>
    <n v="35"/>
    <n v="20"/>
    <s v="No"/>
    <s v="No"/>
    <x v="1"/>
    <x v="1"/>
    <n v="2025"/>
    <s v="Sep"/>
    <s v="26-30"/>
    <s v="&lt;40K"/>
  </r>
  <r>
    <s v="E0082"/>
    <x v="0"/>
    <x v="11"/>
    <x v="3"/>
    <x v="15"/>
    <s v="Junior"/>
    <n v="40794"/>
    <x v="80"/>
    <s v="Bachelor's"/>
    <x v="4"/>
    <s v="Single"/>
    <n v="3"/>
    <n v="4"/>
    <n v="3"/>
    <s v="Low"/>
    <s v="No"/>
    <n v="245"/>
    <n v="79"/>
    <n v="25"/>
    <s v="No"/>
    <s v="Yes"/>
    <x v="1"/>
    <x v="1"/>
    <n v="2019"/>
    <s v="Jun"/>
    <s v="31-35"/>
    <s v="40K-60K"/>
  </r>
  <r>
    <s v="E0083"/>
    <x v="0"/>
    <x v="3"/>
    <x v="3"/>
    <x v="3"/>
    <s v="Mid-Level"/>
    <n v="69210"/>
    <x v="81"/>
    <s v="Master's"/>
    <x v="5"/>
    <s v="Single"/>
    <n v="7"/>
    <n v="4"/>
    <n v="2"/>
    <s v="Low"/>
    <s v="Yes"/>
    <n v="158"/>
    <n v="45"/>
    <n v="11"/>
    <s v="No"/>
    <s v="No"/>
    <x v="0"/>
    <x v="0"/>
    <n v="2024"/>
    <s v="Mar"/>
    <s v="41-50"/>
    <s v="60K-90K"/>
  </r>
  <r>
    <s v="E0084"/>
    <x v="1"/>
    <x v="7"/>
    <x v="7"/>
    <x v="20"/>
    <s v="Junior"/>
    <n v="34262"/>
    <x v="82"/>
    <s v="PhD"/>
    <x v="6"/>
    <s v="Married"/>
    <n v="2"/>
    <n v="1"/>
    <n v="3"/>
    <s v="Good"/>
    <s v="No"/>
    <n v="165"/>
    <n v="28"/>
    <n v="17"/>
    <s v="No"/>
    <s v="No"/>
    <x v="1"/>
    <x v="2"/>
    <n v="2023"/>
    <s v="Jan"/>
    <s v="26-30"/>
    <s v="&lt;40K"/>
  </r>
  <r>
    <s v="E0085"/>
    <x v="1"/>
    <x v="19"/>
    <x v="5"/>
    <x v="28"/>
    <s v="Manager"/>
    <n v="100345"/>
    <x v="83"/>
    <s v="MBA"/>
    <x v="2"/>
    <s v="Married"/>
    <n v="14"/>
    <n v="2"/>
    <n v="5"/>
    <s v="Excellent"/>
    <s v="No"/>
    <n v="191"/>
    <n v="26"/>
    <n v="24"/>
    <s v="No"/>
    <s v="Yes"/>
    <x v="0"/>
    <x v="0"/>
    <n v="2025"/>
    <s v="Oct"/>
    <s v="26-30"/>
    <s v="90K-130K"/>
  </r>
  <r>
    <s v="E0086"/>
    <x v="1"/>
    <x v="7"/>
    <x v="7"/>
    <x v="29"/>
    <s v="Senior"/>
    <n v="105294"/>
    <x v="84"/>
    <s v="Master's"/>
    <x v="5"/>
    <s v="Single"/>
    <n v="11"/>
    <n v="1"/>
    <n v="1"/>
    <s v="Excellent"/>
    <s v="No"/>
    <n v="231"/>
    <n v="9"/>
    <n v="6"/>
    <s v="Yes"/>
    <s v="No"/>
    <x v="1"/>
    <x v="1"/>
    <n v="2022"/>
    <s v="Jan"/>
    <s v="26-30"/>
    <s v="90K-130K"/>
  </r>
  <r>
    <s v="E0087"/>
    <x v="1"/>
    <x v="21"/>
    <x v="3"/>
    <x v="4"/>
    <s v="Junior"/>
    <n v="33027"/>
    <x v="85"/>
    <s v="PhD"/>
    <x v="4"/>
    <s v="Divorced"/>
    <n v="3"/>
    <n v="3"/>
    <n v="4"/>
    <s v="Good"/>
    <s v="Yes"/>
    <n v="223"/>
    <n v="36"/>
    <n v="5"/>
    <s v="Yes"/>
    <s v="No"/>
    <x v="1"/>
    <x v="1"/>
    <n v="2023"/>
    <s v="Feb"/>
    <s v="36-40"/>
    <s v="&lt;40K"/>
  </r>
  <r>
    <s v="E0088"/>
    <x v="1"/>
    <x v="11"/>
    <x v="4"/>
    <x v="27"/>
    <s v="Senior"/>
    <n v="82058"/>
    <x v="86"/>
    <s v="Bachelor's"/>
    <x v="6"/>
    <s v="Single"/>
    <n v="12"/>
    <n v="5"/>
    <n v="3"/>
    <s v="Excellent"/>
    <s v="No"/>
    <n v="212"/>
    <n v="16"/>
    <n v="27"/>
    <s v="No"/>
    <s v="No"/>
    <x v="1"/>
    <x v="1"/>
    <n v="2021"/>
    <s v="May"/>
    <s v="31-35"/>
    <s v="60K-90K"/>
  </r>
  <r>
    <s v="E0089"/>
    <x v="1"/>
    <x v="7"/>
    <x v="2"/>
    <x v="30"/>
    <s v="Senior"/>
    <n v="75322"/>
    <x v="87"/>
    <s v="PhD"/>
    <x v="5"/>
    <s v="Married"/>
    <n v="7"/>
    <n v="5"/>
    <n v="2"/>
    <s v="Good"/>
    <s v="Yes"/>
    <n v="175"/>
    <n v="64"/>
    <n v="27"/>
    <s v="No"/>
    <s v="No"/>
    <x v="1"/>
    <x v="1"/>
    <n v="2023"/>
    <s v="Jan"/>
    <s v="26-30"/>
    <s v="60K-90K"/>
  </r>
  <r>
    <s v="E0090"/>
    <x v="0"/>
    <x v="0"/>
    <x v="2"/>
    <x v="30"/>
    <s v="Manager"/>
    <n v="152739"/>
    <x v="88"/>
    <s v="PhD"/>
    <x v="6"/>
    <s v="Divorced"/>
    <n v="16"/>
    <n v="4"/>
    <n v="5"/>
    <s v="Good"/>
    <s v="Yes"/>
    <n v="166"/>
    <n v="21"/>
    <n v="30"/>
    <s v="No"/>
    <s v="No"/>
    <x v="1"/>
    <x v="1"/>
    <n v="2023"/>
    <s v="Aug"/>
    <s v="31-35"/>
    <s v="130K+"/>
  </r>
  <r>
    <s v="E0091"/>
    <x v="0"/>
    <x v="14"/>
    <x v="4"/>
    <x v="27"/>
    <s v="Junior"/>
    <n v="44977"/>
    <x v="89"/>
    <s v="Diploma"/>
    <x v="2"/>
    <s v="Single"/>
    <n v="1"/>
    <n v="2"/>
    <n v="2"/>
    <s v="Good"/>
    <s v="No"/>
    <n v="240"/>
    <n v="30"/>
    <n v="22"/>
    <s v="No"/>
    <s v="No"/>
    <x v="1"/>
    <x v="1"/>
    <n v="2022"/>
    <s v="May"/>
    <s v="31-35"/>
    <s v="40K-60K"/>
  </r>
  <r>
    <s v="E0092"/>
    <x v="0"/>
    <x v="21"/>
    <x v="5"/>
    <x v="28"/>
    <s v="Mid-Level"/>
    <n v="61392"/>
    <x v="90"/>
    <s v="Diploma"/>
    <x v="5"/>
    <s v="Single"/>
    <n v="6"/>
    <n v="2"/>
    <n v="5"/>
    <s v="Low"/>
    <s v="No"/>
    <n v="227"/>
    <n v="10"/>
    <n v="22"/>
    <s v="No"/>
    <s v="No"/>
    <x v="1"/>
    <x v="1"/>
    <n v="2020"/>
    <s v="Sep"/>
    <s v="36-40"/>
    <s v="60K-90K"/>
  </r>
  <r>
    <s v="E0093"/>
    <x v="0"/>
    <x v="16"/>
    <x v="4"/>
    <x v="27"/>
    <s v="Manager"/>
    <n v="127967"/>
    <x v="91"/>
    <s v="Bachelor's"/>
    <x v="3"/>
    <s v="Married"/>
    <n v="18"/>
    <n v="4"/>
    <n v="2"/>
    <s v="Excellent"/>
    <s v="No"/>
    <n v="201"/>
    <n v="66"/>
    <n v="16"/>
    <s v="Yes"/>
    <s v="No"/>
    <x v="1"/>
    <x v="1"/>
    <n v="2022"/>
    <s v="May"/>
    <s v="26-30"/>
    <s v="90K-130K"/>
  </r>
  <r>
    <s v="E0094"/>
    <x v="0"/>
    <x v="17"/>
    <x v="3"/>
    <x v="3"/>
    <s v="Senior"/>
    <n v="91130"/>
    <x v="92"/>
    <s v="MBA"/>
    <x v="6"/>
    <s v="Single"/>
    <n v="7"/>
    <n v="5"/>
    <n v="5"/>
    <s v="Average"/>
    <s v="Yes"/>
    <n v="190"/>
    <n v="17"/>
    <n v="3"/>
    <s v="No"/>
    <s v="No"/>
    <x v="1"/>
    <x v="2"/>
    <n v="2023"/>
    <s v="Feb"/>
    <s v="26-30"/>
    <s v="90K-130K"/>
  </r>
  <r>
    <s v="E0095"/>
    <x v="1"/>
    <x v="17"/>
    <x v="1"/>
    <x v="14"/>
    <s v="Senior"/>
    <n v="102859"/>
    <x v="93"/>
    <s v="PhD"/>
    <x v="5"/>
    <s v="Single"/>
    <n v="10"/>
    <n v="2"/>
    <n v="4"/>
    <s v="Excellent"/>
    <s v="No"/>
    <n v="209"/>
    <n v="69"/>
    <n v="16"/>
    <s v="Yes"/>
    <s v="No"/>
    <x v="1"/>
    <x v="1"/>
    <n v="2021"/>
    <s v="Feb"/>
    <s v="26-30"/>
    <s v="90K-130K"/>
  </r>
  <r>
    <s v="E0096"/>
    <x v="1"/>
    <x v="9"/>
    <x v="0"/>
    <x v="10"/>
    <s v="Senior"/>
    <n v="97433"/>
    <x v="94"/>
    <s v="MBA"/>
    <x v="4"/>
    <s v="Married"/>
    <n v="14"/>
    <n v="4"/>
    <n v="3"/>
    <s v="Good"/>
    <s v="No"/>
    <n v="151"/>
    <n v="10"/>
    <n v="14"/>
    <s v="Yes"/>
    <s v="Yes"/>
    <x v="1"/>
    <x v="1"/>
    <n v="2026"/>
    <s v="May"/>
    <s v="21-25"/>
    <s v="90K-130K"/>
  </r>
  <r>
    <s v="E0097"/>
    <x v="1"/>
    <x v="11"/>
    <x v="5"/>
    <x v="28"/>
    <s v="Manager"/>
    <n v="156093"/>
    <x v="95"/>
    <s v="Bachelor's"/>
    <x v="7"/>
    <s v="Married"/>
    <n v="15"/>
    <n v="3"/>
    <n v="5"/>
    <s v="Good"/>
    <s v="No"/>
    <n v="228"/>
    <n v="76"/>
    <n v="13"/>
    <s v="Yes"/>
    <s v="Yes"/>
    <x v="1"/>
    <x v="1"/>
    <n v="2025"/>
    <s v="Mar"/>
    <s v="31-35"/>
    <s v="130K+"/>
  </r>
  <r>
    <s v="E0098"/>
    <x v="1"/>
    <x v="8"/>
    <x v="0"/>
    <x v="10"/>
    <s v="Junior"/>
    <n v="32490"/>
    <x v="96"/>
    <s v="Diploma"/>
    <x v="4"/>
    <s v="Single"/>
    <n v="2"/>
    <n v="5"/>
    <n v="4"/>
    <s v="Excellent"/>
    <s v="Yes"/>
    <n v="227"/>
    <n v="43"/>
    <n v="20"/>
    <s v="No"/>
    <s v="No"/>
    <x v="1"/>
    <x v="2"/>
    <n v="2024"/>
    <s v="Apr"/>
    <s v="31-35"/>
    <s v="&lt;40K"/>
  </r>
  <r>
    <s v="E0099"/>
    <x v="1"/>
    <x v="14"/>
    <x v="7"/>
    <x v="29"/>
    <s v="Senior"/>
    <n v="86708"/>
    <x v="97"/>
    <s v="MBA"/>
    <x v="0"/>
    <s v="Divorced"/>
    <n v="6"/>
    <n v="5"/>
    <n v="3"/>
    <s v="Low"/>
    <s v="No"/>
    <n v="238"/>
    <n v="79"/>
    <n v="17"/>
    <s v="Yes"/>
    <s v="Yes"/>
    <x v="1"/>
    <x v="2"/>
    <n v="2023"/>
    <s v="Sep"/>
    <s v="31-35"/>
    <s v="60K-90K"/>
  </r>
  <r>
    <s v="E0100"/>
    <x v="0"/>
    <x v="4"/>
    <x v="1"/>
    <x v="31"/>
    <s v="Junior"/>
    <n v="34251"/>
    <x v="98"/>
    <s v="Diploma"/>
    <x v="6"/>
    <s v="Divorced"/>
    <n v="0"/>
    <n v="3"/>
    <n v="4"/>
    <s v="Low"/>
    <s v="Yes"/>
    <n v="202"/>
    <n v="22"/>
    <n v="18"/>
    <s v="Yes"/>
    <s v="No"/>
    <x v="1"/>
    <x v="1"/>
    <n v="2023"/>
    <s v="Dec"/>
    <s v="26-30"/>
    <s v="&lt;40K"/>
  </r>
  <r>
    <s v="E0101"/>
    <x v="1"/>
    <x v="13"/>
    <x v="4"/>
    <x v="5"/>
    <s v="Mid-Level"/>
    <n v="57062"/>
    <x v="99"/>
    <s v="Master's"/>
    <x v="0"/>
    <s v="Married"/>
    <n v="6"/>
    <n v="5"/>
    <n v="3"/>
    <s v="Good"/>
    <s v="No"/>
    <n v="248"/>
    <n v="33"/>
    <n v="11"/>
    <s v="No"/>
    <s v="No"/>
    <x v="1"/>
    <x v="1"/>
    <n v="2022"/>
    <s v="Nov"/>
    <s v="21-25"/>
    <s v="40K-60K"/>
  </r>
  <r>
    <s v="E0102"/>
    <x v="1"/>
    <x v="17"/>
    <x v="3"/>
    <x v="4"/>
    <s v="Senior"/>
    <n v="101732"/>
    <x v="100"/>
    <s v="PhD"/>
    <x v="4"/>
    <s v="Single"/>
    <n v="9"/>
    <n v="1"/>
    <n v="5"/>
    <s v="Good"/>
    <s v="No"/>
    <n v="219"/>
    <n v="10"/>
    <n v="11"/>
    <s v="No"/>
    <s v="No"/>
    <x v="1"/>
    <x v="1"/>
    <n v="2022"/>
    <s v="Mar"/>
    <s v="26-30"/>
    <s v="90K-130K"/>
  </r>
  <r>
    <s v="E0103"/>
    <x v="1"/>
    <x v="17"/>
    <x v="7"/>
    <x v="20"/>
    <s v="Manager"/>
    <n v="118047"/>
    <x v="101"/>
    <s v="Diploma"/>
    <x v="0"/>
    <s v="Single"/>
    <n v="11"/>
    <n v="3"/>
    <n v="5"/>
    <s v="Low"/>
    <s v="No"/>
    <n v="184"/>
    <n v="72"/>
    <n v="9"/>
    <s v="No"/>
    <s v="No"/>
    <x v="1"/>
    <x v="1"/>
    <n v="2025"/>
    <s v="Jan"/>
    <s v="26-30"/>
    <s v="90K-130K"/>
  </r>
  <r>
    <s v="E0104"/>
    <x v="0"/>
    <x v="19"/>
    <x v="2"/>
    <x v="2"/>
    <s v="Senior"/>
    <n v="95959"/>
    <x v="102"/>
    <s v="PhD"/>
    <x v="6"/>
    <s v="Divorced"/>
    <n v="6"/>
    <n v="2"/>
    <n v="1"/>
    <s v="Average"/>
    <s v="No"/>
    <n v="170"/>
    <n v="41"/>
    <n v="12"/>
    <s v="No"/>
    <s v="No"/>
    <x v="1"/>
    <x v="1"/>
    <n v="2026"/>
    <s v="Aug"/>
    <s v="26-30"/>
    <s v="90K-130K"/>
  </r>
  <r>
    <s v="E0105"/>
    <x v="0"/>
    <x v="4"/>
    <x v="1"/>
    <x v="31"/>
    <s v="Mid-Level"/>
    <n v="55693"/>
    <x v="103"/>
    <s v="Bachelor's"/>
    <x v="2"/>
    <s v="Divorced"/>
    <n v="3"/>
    <n v="4"/>
    <n v="4"/>
    <s v="Low"/>
    <s v="Yes"/>
    <n v="245"/>
    <n v="47"/>
    <n v="11"/>
    <s v="No"/>
    <s v="No"/>
    <x v="1"/>
    <x v="2"/>
    <n v="2019"/>
    <s v="May"/>
    <s v="26-30"/>
    <s v="40K-60K"/>
  </r>
  <r>
    <s v="E0106"/>
    <x v="0"/>
    <x v="11"/>
    <x v="7"/>
    <x v="20"/>
    <s v="Mid-Level"/>
    <n v="68503"/>
    <x v="104"/>
    <s v="MBA"/>
    <x v="2"/>
    <s v="Divorced"/>
    <n v="2"/>
    <n v="2"/>
    <n v="4"/>
    <s v="Average"/>
    <s v="No"/>
    <n v="182"/>
    <n v="27"/>
    <n v="21"/>
    <s v="No"/>
    <s v="No"/>
    <x v="0"/>
    <x v="0"/>
    <n v="2022"/>
    <s v="Sep"/>
    <s v="31-35"/>
    <s v="60K-90K"/>
  </r>
  <r>
    <s v="E0107"/>
    <x v="1"/>
    <x v="23"/>
    <x v="4"/>
    <x v="5"/>
    <s v="Junior"/>
    <n v="41134"/>
    <x v="105"/>
    <s v="Master's"/>
    <x v="6"/>
    <s v="Married"/>
    <n v="0"/>
    <n v="2"/>
    <n v="4"/>
    <s v="Good"/>
    <s v="No"/>
    <n v="181"/>
    <n v="43"/>
    <n v="20"/>
    <s v="No"/>
    <s v="Yes"/>
    <x v="1"/>
    <x v="1"/>
    <n v="2021"/>
    <s v="Jan"/>
    <s v="41-50"/>
    <s v="40K-60K"/>
  </r>
  <r>
    <s v="E0108"/>
    <x v="1"/>
    <x v="8"/>
    <x v="3"/>
    <x v="21"/>
    <s v="Junior"/>
    <n v="31873"/>
    <x v="106"/>
    <s v="MBA"/>
    <x v="4"/>
    <s v="Divorced"/>
    <n v="3"/>
    <n v="2"/>
    <n v="4"/>
    <s v="Average"/>
    <s v="No"/>
    <n v="214"/>
    <n v="33"/>
    <n v="6"/>
    <s v="No"/>
    <s v="No"/>
    <x v="1"/>
    <x v="1"/>
    <n v="2022"/>
    <s v="Jun"/>
    <s v="31-35"/>
    <s v="&lt;40K"/>
  </r>
  <r>
    <s v="E0109"/>
    <x v="1"/>
    <x v="8"/>
    <x v="3"/>
    <x v="4"/>
    <s v="Manager"/>
    <n v="118627"/>
    <x v="107"/>
    <s v="Diploma"/>
    <x v="1"/>
    <s v="Single"/>
    <n v="20"/>
    <n v="5"/>
    <n v="1"/>
    <s v="Average"/>
    <s v="No"/>
    <n v="207"/>
    <n v="78"/>
    <n v="19"/>
    <s v="Yes"/>
    <s v="No"/>
    <x v="0"/>
    <x v="0"/>
    <n v="2021"/>
    <s v="Oct"/>
    <s v="31-35"/>
    <s v="90K-130K"/>
  </r>
  <r>
    <s v="E0110"/>
    <x v="0"/>
    <x v="1"/>
    <x v="3"/>
    <x v="4"/>
    <s v="Junior"/>
    <n v="34730"/>
    <x v="108"/>
    <s v="PhD"/>
    <x v="5"/>
    <s v="Divorced"/>
    <n v="3"/>
    <n v="5"/>
    <n v="4"/>
    <s v="Excellent"/>
    <s v="Yes"/>
    <n v="208"/>
    <n v="44"/>
    <n v="25"/>
    <s v="Yes"/>
    <s v="No"/>
    <x v="1"/>
    <x v="2"/>
    <n v="2020"/>
    <s v="Jan"/>
    <s v="31-35"/>
    <s v="&lt;40K"/>
  </r>
  <r>
    <s v="E0111"/>
    <x v="1"/>
    <x v="9"/>
    <x v="0"/>
    <x v="9"/>
    <s v="Junior"/>
    <n v="29484"/>
    <x v="109"/>
    <s v="PhD"/>
    <x v="3"/>
    <s v="Single"/>
    <n v="3"/>
    <n v="1"/>
    <n v="5"/>
    <s v="Excellent"/>
    <s v="Yes"/>
    <n v="158"/>
    <n v="52"/>
    <n v="30"/>
    <s v="No"/>
    <s v="No"/>
    <x v="0"/>
    <x v="0"/>
    <n v="2022"/>
    <s v="Nov"/>
    <s v="21-25"/>
    <s v="&lt;40K"/>
  </r>
  <r>
    <s v="E0112"/>
    <x v="1"/>
    <x v="1"/>
    <x v="4"/>
    <x v="18"/>
    <s v="Junior"/>
    <n v="32357"/>
    <x v="110"/>
    <s v="Master's"/>
    <x v="5"/>
    <s v="Single"/>
    <n v="2"/>
    <n v="2"/>
    <n v="5"/>
    <s v="Good"/>
    <s v="No"/>
    <n v="217"/>
    <n v="64"/>
    <n v="23"/>
    <s v="No"/>
    <s v="No"/>
    <x v="1"/>
    <x v="2"/>
    <n v="2020"/>
    <s v="Apr"/>
    <s v="31-35"/>
    <s v="&lt;40K"/>
  </r>
  <r>
    <s v="E0113"/>
    <x v="1"/>
    <x v="14"/>
    <x v="1"/>
    <x v="14"/>
    <s v="Manager"/>
    <n v="135371"/>
    <x v="111"/>
    <s v="Bachelor's"/>
    <x v="0"/>
    <s v="Single"/>
    <n v="10"/>
    <n v="2"/>
    <n v="1"/>
    <s v="Low"/>
    <s v="Yes"/>
    <n v="253"/>
    <n v="17"/>
    <n v="21"/>
    <s v="Yes"/>
    <s v="No"/>
    <x v="1"/>
    <x v="2"/>
    <n v="2022"/>
    <s v="Feb"/>
    <s v="31-35"/>
    <s v="130K+"/>
  </r>
  <r>
    <s v="E0114"/>
    <x v="0"/>
    <x v="24"/>
    <x v="1"/>
    <x v="31"/>
    <s v="Manager"/>
    <n v="147535"/>
    <x v="112"/>
    <s v="Diploma"/>
    <x v="4"/>
    <s v="Divorced"/>
    <n v="11"/>
    <n v="2"/>
    <n v="1"/>
    <s v="Good"/>
    <s v="Yes"/>
    <n v="214"/>
    <n v="35"/>
    <n v="11"/>
    <s v="Yes"/>
    <s v="No"/>
    <x v="0"/>
    <x v="0"/>
    <n v="2025"/>
    <s v="Jan"/>
    <s v="41-50"/>
    <s v="130K+"/>
  </r>
  <r>
    <s v="E0115"/>
    <x v="0"/>
    <x v="4"/>
    <x v="4"/>
    <x v="5"/>
    <s v="Senior"/>
    <n v="68994"/>
    <x v="113"/>
    <s v="PhD"/>
    <x v="4"/>
    <s v="Divorced"/>
    <n v="13"/>
    <n v="2"/>
    <n v="4"/>
    <s v="Excellent"/>
    <s v="No"/>
    <n v="213"/>
    <n v="57"/>
    <n v="6"/>
    <s v="No"/>
    <s v="Yes"/>
    <x v="1"/>
    <x v="2"/>
    <n v="2025"/>
    <s v="Aug"/>
    <s v="26-30"/>
    <s v="60K-90K"/>
  </r>
  <r>
    <s v="E0116"/>
    <x v="0"/>
    <x v="11"/>
    <x v="7"/>
    <x v="8"/>
    <s v="Mid-Level"/>
    <n v="51854"/>
    <x v="114"/>
    <s v="Master's"/>
    <x v="7"/>
    <s v="Single"/>
    <n v="7"/>
    <n v="4"/>
    <n v="1"/>
    <s v="Good"/>
    <s v="No"/>
    <n v="202"/>
    <n v="31"/>
    <n v="12"/>
    <s v="No"/>
    <s v="No"/>
    <x v="1"/>
    <x v="1"/>
    <n v="2020"/>
    <s v="Aug"/>
    <s v="31-35"/>
    <s v="40K-60K"/>
  </r>
  <r>
    <s v="E0117"/>
    <x v="1"/>
    <x v="1"/>
    <x v="3"/>
    <x v="15"/>
    <s v="Mid-Level"/>
    <n v="43688"/>
    <x v="115"/>
    <s v="Diploma"/>
    <x v="0"/>
    <s v="Married"/>
    <n v="4"/>
    <n v="5"/>
    <n v="5"/>
    <s v="Average"/>
    <s v="Yes"/>
    <n v="159"/>
    <n v="47"/>
    <n v="11"/>
    <s v="Yes"/>
    <s v="No"/>
    <x v="1"/>
    <x v="1"/>
    <n v="2023"/>
    <s v="Mar"/>
    <s v="31-35"/>
    <s v="40K-60K"/>
  </r>
  <r>
    <s v="E0118"/>
    <x v="0"/>
    <x v="15"/>
    <x v="2"/>
    <x v="2"/>
    <s v="Mid-Level"/>
    <n v="64794"/>
    <x v="116"/>
    <s v="Diploma"/>
    <x v="4"/>
    <s v="Married"/>
    <n v="6"/>
    <n v="4"/>
    <n v="2"/>
    <s v="Good"/>
    <s v="No"/>
    <n v="191"/>
    <n v="51"/>
    <n v="18"/>
    <s v="No"/>
    <s v="No"/>
    <x v="1"/>
    <x v="2"/>
    <n v="2021"/>
    <s v="Apr"/>
    <s v="21-25"/>
    <s v="60K-90K"/>
  </r>
  <r>
    <s v="E0119"/>
    <x v="0"/>
    <x v="20"/>
    <x v="7"/>
    <x v="20"/>
    <s v="Mid-Level"/>
    <n v="54147"/>
    <x v="117"/>
    <s v="Diploma"/>
    <x v="7"/>
    <s v="Married"/>
    <n v="4"/>
    <n v="1"/>
    <n v="5"/>
    <s v="Average"/>
    <s v="Yes"/>
    <n v="244"/>
    <n v="30"/>
    <n v="12"/>
    <s v="Yes"/>
    <s v="No"/>
    <x v="0"/>
    <x v="0"/>
    <n v="2023"/>
    <s v="Aug"/>
    <s v="36-40"/>
    <s v="40K-60K"/>
  </r>
  <r>
    <s v="E0120"/>
    <x v="1"/>
    <x v="6"/>
    <x v="1"/>
    <x v="1"/>
    <s v="Senior"/>
    <n v="81864"/>
    <x v="118"/>
    <s v="Diploma"/>
    <x v="6"/>
    <s v="Single"/>
    <n v="12"/>
    <n v="4"/>
    <n v="4"/>
    <s v="Low"/>
    <s v="Yes"/>
    <n v="243"/>
    <n v="72"/>
    <n v="3"/>
    <s v="Yes"/>
    <s v="No"/>
    <x v="0"/>
    <x v="0"/>
    <n v="2026"/>
    <s v="Mar"/>
    <s v="36-40"/>
    <s v="60K-90K"/>
  </r>
  <r>
    <s v="E0121"/>
    <x v="0"/>
    <x v="6"/>
    <x v="0"/>
    <x v="16"/>
    <s v="Mid-Level"/>
    <n v="69608"/>
    <x v="119"/>
    <s v="Diploma"/>
    <x v="6"/>
    <s v="Divorced"/>
    <n v="7"/>
    <n v="1"/>
    <n v="2"/>
    <s v="Excellent"/>
    <s v="Yes"/>
    <n v="177"/>
    <n v="7"/>
    <n v="2"/>
    <s v="No"/>
    <s v="No"/>
    <x v="1"/>
    <x v="2"/>
    <n v="2021"/>
    <s v="Aug"/>
    <s v="36-40"/>
    <s v="60K-90K"/>
  </r>
  <r>
    <s v="E0122"/>
    <x v="0"/>
    <x v="12"/>
    <x v="0"/>
    <x v="0"/>
    <s v="Senior"/>
    <n v="66123"/>
    <x v="120"/>
    <s v="Diploma"/>
    <x v="2"/>
    <s v="Married"/>
    <n v="13"/>
    <n v="4"/>
    <n v="2"/>
    <s v="Good"/>
    <s v="Yes"/>
    <n v="162"/>
    <n v="55"/>
    <n v="4"/>
    <s v="No"/>
    <s v="No"/>
    <x v="1"/>
    <x v="2"/>
    <n v="2026"/>
    <s v="Jul"/>
    <s v="21-25"/>
    <s v="60K-90K"/>
  </r>
  <r>
    <s v="E0123"/>
    <x v="1"/>
    <x v="22"/>
    <x v="1"/>
    <x v="14"/>
    <s v="Senior"/>
    <n v="109829"/>
    <x v="121"/>
    <s v="Bachelor's"/>
    <x v="5"/>
    <s v="Divorced"/>
    <n v="6"/>
    <n v="1"/>
    <n v="1"/>
    <s v="Average"/>
    <s v="No"/>
    <n v="198"/>
    <n v="15"/>
    <n v="17"/>
    <s v="No"/>
    <s v="No"/>
    <x v="1"/>
    <x v="1"/>
    <n v="2026"/>
    <s v="May"/>
    <s v="41-50"/>
    <s v="90K-130K"/>
  </r>
  <r>
    <s v="E0124"/>
    <x v="0"/>
    <x v="13"/>
    <x v="0"/>
    <x v="9"/>
    <s v="Mid-Level"/>
    <n v="64684"/>
    <x v="122"/>
    <s v="Diploma"/>
    <x v="5"/>
    <s v="Single"/>
    <n v="6"/>
    <n v="3"/>
    <n v="1"/>
    <s v="Good"/>
    <s v="Yes"/>
    <n v="237"/>
    <n v="7"/>
    <n v="8"/>
    <s v="No"/>
    <s v="No"/>
    <x v="1"/>
    <x v="1"/>
    <n v="2024"/>
    <s v="May"/>
    <s v="21-25"/>
    <s v="60K-90K"/>
  </r>
  <r>
    <s v="E0125"/>
    <x v="1"/>
    <x v="2"/>
    <x v="2"/>
    <x v="30"/>
    <s v="Mid-Level"/>
    <n v="60479"/>
    <x v="123"/>
    <s v="Bachelor's"/>
    <x v="4"/>
    <s v="Single"/>
    <n v="3"/>
    <n v="4"/>
    <n v="5"/>
    <s v="Low"/>
    <s v="No"/>
    <n v="199"/>
    <n v="60"/>
    <n v="9"/>
    <s v="Yes"/>
    <s v="No"/>
    <x v="1"/>
    <x v="1"/>
    <n v="2025"/>
    <s v="May"/>
    <s v="36-40"/>
    <s v="60K-90K"/>
  </r>
  <r>
    <s v="E0126"/>
    <x v="1"/>
    <x v="25"/>
    <x v="3"/>
    <x v="15"/>
    <s v="Senior"/>
    <n v="94527"/>
    <x v="124"/>
    <s v="PhD"/>
    <x v="1"/>
    <s v="Divorced"/>
    <n v="12"/>
    <n v="3"/>
    <n v="5"/>
    <s v="Good"/>
    <s v="No"/>
    <n v="205"/>
    <n v="36"/>
    <n v="24"/>
    <s v="Yes"/>
    <s v="No"/>
    <x v="1"/>
    <x v="1"/>
    <n v="2021"/>
    <s v="Jul"/>
    <s v="41-50"/>
    <s v="90K-130K"/>
  </r>
  <r>
    <s v="E0127"/>
    <x v="1"/>
    <x v="12"/>
    <x v="6"/>
    <x v="24"/>
    <s v="Mid-Level"/>
    <n v="66237"/>
    <x v="125"/>
    <s v="MBA"/>
    <x v="1"/>
    <s v="Single"/>
    <n v="5"/>
    <n v="3"/>
    <n v="1"/>
    <s v="Low"/>
    <s v="Yes"/>
    <n v="150"/>
    <n v="28"/>
    <n v="15"/>
    <s v="No"/>
    <s v="No"/>
    <x v="1"/>
    <x v="2"/>
    <n v="2022"/>
    <s v="Jul"/>
    <s v="21-25"/>
    <s v="60K-90K"/>
  </r>
  <r>
    <s v="E0128"/>
    <x v="0"/>
    <x v="7"/>
    <x v="0"/>
    <x v="10"/>
    <s v="Senior"/>
    <n v="101321"/>
    <x v="126"/>
    <s v="Bachelor's"/>
    <x v="0"/>
    <s v="Divorced"/>
    <n v="6"/>
    <n v="5"/>
    <n v="3"/>
    <s v="Average"/>
    <s v="No"/>
    <n v="151"/>
    <n v="53"/>
    <n v="7"/>
    <s v="Yes"/>
    <s v="No"/>
    <x v="1"/>
    <x v="1"/>
    <n v="2025"/>
    <s v="Sep"/>
    <s v="26-30"/>
    <s v="90K-130K"/>
  </r>
  <r>
    <s v="E0129"/>
    <x v="1"/>
    <x v="14"/>
    <x v="5"/>
    <x v="25"/>
    <s v="Mid-Level"/>
    <n v="44073"/>
    <x v="127"/>
    <s v="Master's"/>
    <x v="6"/>
    <s v="Divorced"/>
    <n v="3"/>
    <n v="3"/>
    <n v="4"/>
    <s v="Average"/>
    <s v="No"/>
    <n v="211"/>
    <n v="63"/>
    <n v="5"/>
    <s v="Yes"/>
    <s v="Yes"/>
    <x v="1"/>
    <x v="1"/>
    <n v="2023"/>
    <s v="Nov"/>
    <s v="31-35"/>
    <s v="40K-60K"/>
  </r>
  <r>
    <s v="E0130"/>
    <x v="0"/>
    <x v="7"/>
    <x v="4"/>
    <x v="5"/>
    <s v="Manager"/>
    <n v="133193"/>
    <x v="128"/>
    <s v="Master's"/>
    <x v="6"/>
    <s v="Married"/>
    <n v="15"/>
    <n v="4"/>
    <n v="5"/>
    <s v="Average"/>
    <s v="Yes"/>
    <n v="188"/>
    <n v="55"/>
    <n v="12"/>
    <s v="No"/>
    <s v="No"/>
    <x v="1"/>
    <x v="2"/>
    <n v="2022"/>
    <s v="Oct"/>
    <s v="26-30"/>
    <s v="130K+"/>
  </r>
  <r>
    <s v="E0131"/>
    <x v="0"/>
    <x v="9"/>
    <x v="3"/>
    <x v="4"/>
    <s v="Senior"/>
    <n v="90751"/>
    <x v="129"/>
    <s v="Diploma"/>
    <x v="5"/>
    <s v="Divorced"/>
    <n v="10"/>
    <n v="5"/>
    <n v="2"/>
    <s v="Excellent"/>
    <s v="No"/>
    <n v="219"/>
    <n v="31"/>
    <n v="16"/>
    <s v="No"/>
    <s v="No"/>
    <x v="1"/>
    <x v="1"/>
    <n v="2020"/>
    <s v="Apr"/>
    <s v="21-25"/>
    <s v="90K-130K"/>
  </r>
  <r>
    <s v="E0132"/>
    <x v="1"/>
    <x v="14"/>
    <x v="7"/>
    <x v="8"/>
    <s v="Senior"/>
    <n v="80861"/>
    <x v="130"/>
    <s v="PhD"/>
    <x v="7"/>
    <s v="Divorced"/>
    <n v="9"/>
    <n v="2"/>
    <n v="4"/>
    <s v="Excellent"/>
    <s v="No"/>
    <n v="159"/>
    <n v="74"/>
    <n v="3"/>
    <s v="No"/>
    <s v="No"/>
    <x v="1"/>
    <x v="1"/>
    <n v="2026"/>
    <s v="May"/>
    <s v="31-35"/>
    <s v="60K-90K"/>
  </r>
  <r>
    <s v="E0133"/>
    <x v="0"/>
    <x v="10"/>
    <x v="1"/>
    <x v="11"/>
    <s v="Mid-Level"/>
    <n v="63200"/>
    <x v="131"/>
    <s v="Bachelor's"/>
    <x v="2"/>
    <s v="Single"/>
    <n v="6"/>
    <n v="5"/>
    <n v="4"/>
    <s v="Average"/>
    <s v="No"/>
    <n v="251"/>
    <n v="62"/>
    <n v="13"/>
    <s v="No"/>
    <s v="No"/>
    <x v="0"/>
    <x v="0"/>
    <n v="2019"/>
    <s v="Jul"/>
    <s v="21-25"/>
    <s v="60K-90K"/>
  </r>
  <r>
    <s v="E0134"/>
    <x v="1"/>
    <x v="0"/>
    <x v="6"/>
    <x v="22"/>
    <s v="Junior"/>
    <n v="43819"/>
    <x v="132"/>
    <s v="MBA"/>
    <x v="6"/>
    <s v="Single"/>
    <n v="0"/>
    <n v="4"/>
    <n v="1"/>
    <s v="Excellent"/>
    <s v="Yes"/>
    <n v="256"/>
    <n v="49"/>
    <n v="17"/>
    <s v="Yes"/>
    <s v="No"/>
    <x v="1"/>
    <x v="2"/>
    <n v="2022"/>
    <s v="Apr"/>
    <s v="31-35"/>
    <s v="40K-60K"/>
  </r>
  <r>
    <s v="E0135"/>
    <x v="1"/>
    <x v="12"/>
    <x v="3"/>
    <x v="15"/>
    <s v="Senior"/>
    <n v="67928"/>
    <x v="133"/>
    <s v="Master's"/>
    <x v="3"/>
    <s v="Divorced"/>
    <n v="6"/>
    <n v="3"/>
    <n v="1"/>
    <s v="Average"/>
    <s v="No"/>
    <n v="252"/>
    <n v="47"/>
    <n v="19"/>
    <s v="No"/>
    <s v="No"/>
    <x v="1"/>
    <x v="2"/>
    <n v="2019"/>
    <s v="Apr"/>
    <s v="21-25"/>
    <s v="60K-90K"/>
  </r>
  <r>
    <s v="E0136"/>
    <x v="0"/>
    <x v="3"/>
    <x v="4"/>
    <x v="19"/>
    <s v="Mid-Level"/>
    <n v="62987"/>
    <x v="134"/>
    <s v="PhD"/>
    <x v="7"/>
    <s v="Single"/>
    <n v="7"/>
    <n v="4"/>
    <n v="1"/>
    <s v="Average"/>
    <s v="No"/>
    <n v="228"/>
    <n v="31"/>
    <n v="10"/>
    <s v="No"/>
    <s v="No"/>
    <x v="1"/>
    <x v="1"/>
    <n v="2023"/>
    <s v="Nov"/>
    <s v="41-50"/>
    <s v="60K-90K"/>
  </r>
  <r>
    <s v="E0137"/>
    <x v="0"/>
    <x v="19"/>
    <x v="6"/>
    <x v="22"/>
    <s v="Senior"/>
    <n v="77915"/>
    <x v="129"/>
    <s v="Diploma"/>
    <x v="7"/>
    <s v="Divorced"/>
    <n v="12"/>
    <n v="3"/>
    <n v="4"/>
    <s v="Low"/>
    <s v="No"/>
    <n v="231"/>
    <n v="49"/>
    <n v="13"/>
    <s v="No"/>
    <s v="No"/>
    <x v="1"/>
    <x v="1"/>
    <n v="2020"/>
    <s v="Apr"/>
    <s v="26-30"/>
    <s v="60K-90K"/>
  </r>
  <r>
    <s v="E0138"/>
    <x v="1"/>
    <x v="17"/>
    <x v="2"/>
    <x v="12"/>
    <s v="Senior"/>
    <n v="72724"/>
    <x v="38"/>
    <s v="PhD"/>
    <x v="3"/>
    <s v="Divorced"/>
    <n v="8"/>
    <n v="1"/>
    <n v="2"/>
    <s v="Excellent"/>
    <s v="No"/>
    <n v="238"/>
    <n v="59"/>
    <n v="7"/>
    <s v="No"/>
    <s v="No"/>
    <x v="1"/>
    <x v="1"/>
    <n v="2022"/>
    <s v="Jun"/>
    <s v="26-30"/>
    <s v="60K-90K"/>
  </r>
  <r>
    <s v="E0139"/>
    <x v="0"/>
    <x v="6"/>
    <x v="7"/>
    <x v="20"/>
    <s v="Mid-Level"/>
    <n v="48130"/>
    <x v="135"/>
    <s v="PhD"/>
    <x v="6"/>
    <s v="Married"/>
    <n v="4"/>
    <n v="5"/>
    <n v="1"/>
    <s v="Excellent"/>
    <s v="No"/>
    <n v="151"/>
    <n v="58"/>
    <n v="24"/>
    <s v="No"/>
    <s v="No"/>
    <x v="1"/>
    <x v="2"/>
    <n v="2024"/>
    <s v="Jan"/>
    <s v="36-40"/>
    <s v="40K-60K"/>
  </r>
  <r>
    <s v="E0140"/>
    <x v="0"/>
    <x v="15"/>
    <x v="2"/>
    <x v="23"/>
    <s v="Mid-Level"/>
    <n v="51571"/>
    <x v="136"/>
    <s v="PhD"/>
    <x v="1"/>
    <s v="Divorced"/>
    <n v="2"/>
    <n v="2"/>
    <n v="5"/>
    <s v="Low"/>
    <s v="No"/>
    <n v="171"/>
    <n v="39"/>
    <n v="26"/>
    <s v="No"/>
    <s v="No"/>
    <x v="1"/>
    <x v="1"/>
    <n v="2022"/>
    <s v="Jan"/>
    <s v="21-25"/>
    <s v="40K-60K"/>
  </r>
  <r>
    <s v="E0141"/>
    <x v="0"/>
    <x v="8"/>
    <x v="7"/>
    <x v="8"/>
    <s v="Manager"/>
    <n v="103423"/>
    <x v="121"/>
    <s v="Bachelor's"/>
    <x v="6"/>
    <s v="Single"/>
    <n v="19"/>
    <n v="2"/>
    <n v="3"/>
    <s v="Average"/>
    <s v="Yes"/>
    <n v="207"/>
    <n v="31"/>
    <n v="27"/>
    <s v="No"/>
    <s v="No"/>
    <x v="1"/>
    <x v="1"/>
    <n v="2026"/>
    <s v="May"/>
    <s v="31-35"/>
    <s v="90K-130K"/>
  </r>
  <r>
    <s v="E0142"/>
    <x v="1"/>
    <x v="22"/>
    <x v="6"/>
    <x v="26"/>
    <s v="Mid-Level"/>
    <n v="68657"/>
    <x v="137"/>
    <s v="MBA"/>
    <x v="2"/>
    <s v="Divorced"/>
    <n v="3"/>
    <n v="5"/>
    <n v="3"/>
    <s v="Good"/>
    <s v="No"/>
    <n v="185"/>
    <n v="70"/>
    <n v="30"/>
    <s v="No"/>
    <s v="No"/>
    <x v="1"/>
    <x v="1"/>
    <n v="2019"/>
    <s v="Sep"/>
    <s v="41-50"/>
    <s v="60K-90K"/>
  </r>
  <r>
    <s v="E0143"/>
    <x v="0"/>
    <x v="9"/>
    <x v="4"/>
    <x v="27"/>
    <s v="Senior"/>
    <n v="107984"/>
    <x v="138"/>
    <s v="PhD"/>
    <x v="6"/>
    <s v="Single"/>
    <n v="7"/>
    <n v="2"/>
    <n v="2"/>
    <s v="Good"/>
    <s v="No"/>
    <n v="191"/>
    <n v="58"/>
    <n v="14"/>
    <s v="No"/>
    <s v="No"/>
    <x v="1"/>
    <x v="1"/>
    <n v="2020"/>
    <s v="Jun"/>
    <s v="21-25"/>
    <s v="90K-130K"/>
  </r>
  <r>
    <s v="E0144"/>
    <x v="0"/>
    <x v="8"/>
    <x v="4"/>
    <x v="5"/>
    <s v="Senior"/>
    <n v="94798"/>
    <x v="139"/>
    <s v="MBA"/>
    <x v="1"/>
    <s v="Divorced"/>
    <n v="12"/>
    <n v="5"/>
    <n v="1"/>
    <s v="Excellent"/>
    <s v="No"/>
    <n v="161"/>
    <n v="32"/>
    <n v="15"/>
    <s v="Yes"/>
    <s v="No"/>
    <x v="1"/>
    <x v="2"/>
    <n v="2022"/>
    <s v="Sep"/>
    <s v="31-35"/>
    <s v="90K-130K"/>
  </r>
  <r>
    <s v="E0145"/>
    <x v="1"/>
    <x v="8"/>
    <x v="3"/>
    <x v="3"/>
    <s v="Senior"/>
    <n v="100868"/>
    <x v="140"/>
    <s v="PhD"/>
    <x v="5"/>
    <s v="Single"/>
    <n v="14"/>
    <n v="5"/>
    <n v="4"/>
    <s v="Average"/>
    <s v="No"/>
    <n v="237"/>
    <n v="61"/>
    <n v="16"/>
    <s v="Yes"/>
    <s v="Yes"/>
    <x v="0"/>
    <x v="0"/>
    <n v="2020"/>
    <s v="Jun"/>
    <s v="31-35"/>
    <s v="90K-130K"/>
  </r>
  <r>
    <s v="E0146"/>
    <x v="1"/>
    <x v="6"/>
    <x v="1"/>
    <x v="14"/>
    <s v="Senior"/>
    <n v="75418"/>
    <x v="141"/>
    <s v="MBA"/>
    <x v="0"/>
    <s v="Married"/>
    <n v="9"/>
    <n v="3"/>
    <n v="3"/>
    <s v="Low"/>
    <s v="Yes"/>
    <n v="197"/>
    <n v="17"/>
    <n v="2"/>
    <s v="Yes"/>
    <s v="No"/>
    <x v="0"/>
    <x v="0"/>
    <n v="2020"/>
    <s v="Jan"/>
    <s v="36-40"/>
    <s v="60K-90K"/>
  </r>
  <r>
    <s v="E0147"/>
    <x v="1"/>
    <x v="15"/>
    <x v="2"/>
    <x v="12"/>
    <s v="Mid-Level"/>
    <n v="59021"/>
    <x v="142"/>
    <s v="PhD"/>
    <x v="3"/>
    <s v="Married"/>
    <n v="7"/>
    <n v="1"/>
    <n v="1"/>
    <s v="Low"/>
    <s v="No"/>
    <n v="193"/>
    <n v="34"/>
    <n v="14"/>
    <s v="Yes"/>
    <s v="Yes"/>
    <x v="1"/>
    <x v="1"/>
    <n v="2023"/>
    <s v="Dec"/>
    <s v="21-25"/>
    <s v="40K-60K"/>
  </r>
  <r>
    <s v="E0148"/>
    <x v="0"/>
    <x v="13"/>
    <x v="3"/>
    <x v="3"/>
    <s v="Senior"/>
    <n v="73986"/>
    <x v="143"/>
    <s v="Master's"/>
    <x v="6"/>
    <s v="Married"/>
    <n v="11"/>
    <n v="2"/>
    <n v="1"/>
    <s v="Average"/>
    <s v="No"/>
    <n v="222"/>
    <n v="24"/>
    <n v="15"/>
    <s v="No"/>
    <s v="Yes"/>
    <x v="1"/>
    <x v="2"/>
    <n v="2020"/>
    <s v="Jun"/>
    <s v="21-25"/>
    <s v="60K-90K"/>
  </r>
  <r>
    <s v="E0149"/>
    <x v="0"/>
    <x v="0"/>
    <x v="2"/>
    <x v="23"/>
    <s v="Mid-Level"/>
    <n v="66656"/>
    <x v="144"/>
    <s v="Bachelor's"/>
    <x v="0"/>
    <s v="Divorced"/>
    <n v="2"/>
    <n v="4"/>
    <n v="3"/>
    <s v="Good"/>
    <s v="No"/>
    <n v="190"/>
    <n v="8"/>
    <n v="29"/>
    <s v="No"/>
    <s v="No"/>
    <x v="1"/>
    <x v="1"/>
    <n v="2025"/>
    <s v="Aug"/>
    <s v="31-35"/>
    <s v="60K-90K"/>
  </r>
  <r>
    <s v="E0150"/>
    <x v="0"/>
    <x v="11"/>
    <x v="1"/>
    <x v="1"/>
    <s v="Senior"/>
    <n v="107347"/>
    <x v="145"/>
    <s v="Bachelor's"/>
    <x v="5"/>
    <s v="Married"/>
    <n v="5"/>
    <n v="4"/>
    <n v="4"/>
    <s v="Good"/>
    <s v="Yes"/>
    <n v="180"/>
    <n v="21"/>
    <n v="14"/>
    <s v="No"/>
    <s v="No"/>
    <x v="1"/>
    <x v="2"/>
    <n v="2021"/>
    <s v="Sep"/>
    <s v="31-35"/>
    <s v="90K-130K"/>
  </r>
  <r>
    <s v="E0151"/>
    <x v="1"/>
    <x v="8"/>
    <x v="6"/>
    <x v="24"/>
    <s v="Junior"/>
    <n v="28546"/>
    <x v="146"/>
    <s v="Diploma"/>
    <x v="7"/>
    <s v="Married"/>
    <n v="0"/>
    <n v="3"/>
    <n v="2"/>
    <s v="Excellent"/>
    <s v="Yes"/>
    <n v="157"/>
    <n v="15"/>
    <n v="22"/>
    <s v="No"/>
    <s v="No"/>
    <x v="1"/>
    <x v="1"/>
    <n v="2019"/>
    <s v="Feb"/>
    <s v="31-35"/>
    <s v="&lt;40K"/>
  </r>
  <r>
    <s v="E0152"/>
    <x v="1"/>
    <x v="11"/>
    <x v="2"/>
    <x v="30"/>
    <s v="Junior"/>
    <n v="44754"/>
    <x v="147"/>
    <s v="PhD"/>
    <x v="0"/>
    <s v="Single"/>
    <n v="1"/>
    <n v="5"/>
    <n v="3"/>
    <s v="Average"/>
    <s v="No"/>
    <n v="225"/>
    <n v="16"/>
    <n v="15"/>
    <s v="Yes"/>
    <s v="Yes"/>
    <x v="1"/>
    <x v="2"/>
    <n v="2020"/>
    <s v="Sep"/>
    <s v="31-35"/>
    <s v="40K-60K"/>
  </r>
  <r>
    <s v="E0153"/>
    <x v="0"/>
    <x v="16"/>
    <x v="5"/>
    <x v="13"/>
    <s v="Junior"/>
    <n v="28415"/>
    <x v="148"/>
    <s v="Master's"/>
    <x v="2"/>
    <s v="Divorced"/>
    <n v="1"/>
    <n v="2"/>
    <n v="4"/>
    <s v="Low"/>
    <s v="No"/>
    <n v="216"/>
    <n v="8"/>
    <n v="12"/>
    <s v="No"/>
    <s v="No"/>
    <x v="1"/>
    <x v="1"/>
    <n v="2019"/>
    <s v="Feb"/>
    <s v="26-30"/>
    <s v="&lt;40K"/>
  </r>
  <r>
    <s v="E0154"/>
    <x v="0"/>
    <x v="8"/>
    <x v="5"/>
    <x v="28"/>
    <s v="Manager"/>
    <n v="149663"/>
    <x v="149"/>
    <s v="Bachelor's"/>
    <x v="1"/>
    <s v="Single"/>
    <n v="16"/>
    <n v="1"/>
    <n v="4"/>
    <s v="Low"/>
    <s v="No"/>
    <n v="171"/>
    <n v="10"/>
    <n v="29"/>
    <s v="Yes"/>
    <s v="No"/>
    <x v="0"/>
    <x v="0"/>
    <n v="2023"/>
    <s v="Jan"/>
    <s v="31-35"/>
    <s v="130K+"/>
  </r>
  <r>
    <s v="E0155"/>
    <x v="0"/>
    <x v="11"/>
    <x v="0"/>
    <x v="16"/>
    <s v="Senior"/>
    <n v="90098"/>
    <x v="150"/>
    <s v="Master's"/>
    <x v="7"/>
    <s v="Divorced"/>
    <n v="7"/>
    <n v="1"/>
    <n v="5"/>
    <s v="Good"/>
    <s v="No"/>
    <n v="244"/>
    <n v="39"/>
    <n v="28"/>
    <s v="Yes"/>
    <s v="No"/>
    <x v="1"/>
    <x v="1"/>
    <n v="2021"/>
    <s v="Jan"/>
    <s v="31-35"/>
    <s v="90K-130K"/>
  </r>
  <r>
    <s v="E0156"/>
    <x v="0"/>
    <x v="19"/>
    <x v="0"/>
    <x v="9"/>
    <s v="Mid-Level"/>
    <n v="68356"/>
    <x v="151"/>
    <s v="MBA"/>
    <x v="4"/>
    <s v="Single"/>
    <n v="6"/>
    <n v="4"/>
    <n v="1"/>
    <s v="Excellent"/>
    <s v="No"/>
    <n v="260"/>
    <n v="6"/>
    <n v="13"/>
    <s v="Yes"/>
    <s v="No"/>
    <x v="1"/>
    <x v="1"/>
    <n v="2019"/>
    <s v="Jul"/>
    <s v="26-30"/>
    <s v="60K-90K"/>
  </r>
  <r>
    <s v="E0157"/>
    <x v="1"/>
    <x v="23"/>
    <x v="1"/>
    <x v="1"/>
    <s v="Senior"/>
    <n v="103777"/>
    <x v="152"/>
    <s v="Diploma"/>
    <x v="4"/>
    <s v="Divorced"/>
    <n v="12"/>
    <n v="5"/>
    <n v="2"/>
    <s v="Low"/>
    <s v="Yes"/>
    <n v="150"/>
    <n v="47"/>
    <n v="2"/>
    <s v="No"/>
    <s v="No"/>
    <x v="0"/>
    <x v="0"/>
    <n v="2021"/>
    <s v="Mar"/>
    <s v="41-50"/>
    <s v="90K-130K"/>
  </r>
  <r>
    <s v="E0158"/>
    <x v="1"/>
    <x v="0"/>
    <x v="5"/>
    <x v="28"/>
    <s v="Mid-Level"/>
    <n v="59360"/>
    <x v="153"/>
    <s v="Master's"/>
    <x v="7"/>
    <s v="Divorced"/>
    <n v="3"/>
    <n v="4"/>
    <n v="1"/>
    <s v="Good"/>
    <s v="Yes"/>
    <n v="241"/>
    <n v="63"/>
    <n v="25"/>
    <s v="Yes"/>
    <s v="No"/>
    <x v="0"/>
    <x v="0"/>
    <n v="2023"/>
    <s v="Sep"/>
    <s v="31-35"/>
    <s v="40K-60K"/>
  </r>
  <r>
    <s v="E0159"/>
    <x v="0"/>
    <x v="15"/>
    <x v="6"/>
    <x v="24"/>
    <s v="Junior"/>
    <n v="30040"/>
    <x v="154"/>
    <s v="PhD"/>
    <x v="4"/>
    <s v="Married"/>
    <n v="3"/>
    <n v="2"/>
    <n v="2"/>
    <s v="Excellent"/>
    <s v="No"/>
    <n v="183"/>
    <n v="39"/>
    <n v="9"/>
    <s v="Yes"/>
    <s v="No"/>
    <x v="1"/>
    <x v="1"/>
    <n v="2026"/>
    <s v="Jun"/>
    <s v="21-25"/>
    <s v="&lt;40K"/>
  </r>
  <r>
    <s v="E0160"/>
    <x v="0"/>
    <x v="2"/>
    <x v="2"/>
    <x v="12"/>
    <s v="Junior"/>
    <n v="33386"/>
    <x v="155"/>
    <s v="Master's"/>
    <x v="6"/>
    <s v="Married"/>
    <n v="3"/>
    <n v="3"/>
    <n v="4"/>
    <s v="Excellent"/>
    <s v="Yes"/>
    <n v="218"/>
    <n v="38"/>
    <n v="29"/>
    <s v="Yes"/>
    <s v="No"/>
    <x v="1"/>
    <x v="1"/>
    <n v="2024"/>
    <s v="Mar"/>
    <s v="36-40"/>
    <s v="&lt;40K"/>
  </r>
  <r>
    <s v="E0161"/>
    <x v="0"/>
    <x v="12"/>
    <x v="5"/>
    <x v="28"/>
    <s v="Mid-Level"/>
    <n v="69391"/>
    <x v="156"/>
    <s v="MBA"/>
    <x v="3"/>
    <s v="Single"/>
    <n v="4"/>
    <n v="1"/>
    <n v="2"/>
    <s v="Excellent"/>
    <s v="No"/>
    <n v="200"/>
    <n v="62"/>
    <n v="19"/>
    <s v="No"/>
    <s v="Yes"/>
    <x v="1"/>
    <x v="1"/>
    <n v="2020"/>
    <s v="Aug"/>
    <s v="21-25"/>
    <s v="60K-90K"/>
  </r>
  <r>
    <s v="E0162"/>
    <x v="0"/>
    <x v="6"/>
    <x v="7"/>
    <x v="29"/>
    <s v="Mid-Level"/>
    <n v="45979"/>
    <x v="157"/>
    <s v="Bachelor's"/>
    <x v="2"/>
    <s v="Single"/>
    <n v="2"/>
    <n v="2"/>
    <n v="2"/>
    <s v="Low"/>
    <s v="Yes"/>
    <n v="255"/>
    <n v="13"/>
    <n v="8"/>
    <s v="No"/>
    <s v="No"/>
    <x v="1"/>
    <x v="2"/>
    <n v="2019"/>
    <s v="Sep"/>
    <s v="36-40"/>
    <s v="40K-60K"/>
  </r>
  <r>
    <s v="E0163"/>
    <x v="0"/>
    <x v="26"/>
    <x v="2"/>
    <x v="30"/>
    <s v="Junior"/>
    <n v="29399"/>
    <x v="158"/>
    <s v="PhD"/>
    <x v="7"/>
    <s v="Single"/>
    <n v="3"/>
    <n v="2"/>
    <n v="5"/>
    <s v="Good"/>
    <s v="No"/>
    <n v="255"/>
    <n v="32"/>
    <n v="7"/>
    <s v="No"/>
    <s v="No"/>
    <x v="1"/>
    <x v="1"/>
    <n v="2019"/>
    <s v="Jul"/>
    <s v="36-40"/>
    <s v="&lt;40K"/>
  </r>
  <r>
    <s v="E0164"/>
    <x v="1"/>
    <x v="19"/>
    <x v="6"/>
    <x v="7"/>
    <s v="Mid-Level"/>
    <n v="63210"/>
    <x v="159"/>
    <s v="Master's"/>
    <x v="7"/>
    <s v="Single"/>
    <n v="4"/>
    <n v="4"/>
    <n v="5"/>
    <s v="Average"/>
    <s v="No"/>
    <n v="157"/>
    <n v="74"/>
    <n v="27"/>
    <s v="Yes"/>
    <s v="Yes"/>
    <x v="1"/>
    <x v="2"/>
    <n v="2024"/>
    <s v="Aug"/>
    <s v="26-30"/>
    <s v="60K-90K"/>
  </r>
  <r>
    <s v="E0165"/>
    <x v="1"/>
    <x v="21"/>
    <x v="7"/>
    <x v="17"/>
    <s v="Senior"/>
    <n v="102070"/>
    <x v="160"/>
    <s v="Bachelor's"/>
    <x v="2"/>
    <s v="Single"/>
    <n v="13"/>
    <n v="4"/>
    <n v="3"/>
    <s v="Excellent"/>
    <s v="Yes"/>
    <n v="153"/>
    <n v="72"/>
    <n v="13"/>
    <s v="No"/>
    <s v="No"/>
    <x v="1"/>
    <x v="1"/>
    <n v="2022"/>
    <s v="Aug"/>
    <s v="36-40"/>
    <s v="90K-130K"/>
  </r>
  <r>
    <s v="E0166"/>
    <x v="0"/>
    <x v="11"/>
    <x v="2"/>
    <x v="12"/>
    <s v="Mid-Level"/>
    <n v="50733"/>
    <x v="161"/>
    <s v="Diploma"/>
    <x v="4"/>
    <s v="Divorced"/>
    <n v="6"/>
    <n v="2"/>
    <n v="5"/>
    <s v="Good"/>
    <s v="No"/>
    <n v="195"/>
    <n v="80"/>
    <n v="2"/>
    <s v="No"/>
    <s v="No"/>
    <x v="1"/>
    <x v="1"/>
    <n v="2019"/>
    <s v="Aug"/>
    <s v="31-35"/>
    <s v="40K-60K"/>
  </r>
  <r>
    <s v="E0167"/>
    <x v="0"/>
    <x v="6"/>
    <x v="1"/>
    <x v="1"/>
    <s v="Senior"/>
    <n v="76505"/>
    <x v="162"/>
    <s v="PhD"/>
    <x v="5"/>
    <s v="Married"/>
    <n v="12"/>
    <n v="1"/>
    <n v="1"/>
    <s v="Average"/>
    <s v="Yes"/>
    <n v="227"/>
    <n v="21"/>
    <n v="12"/>
    <s v="No"/>
    <s v="No"/>
    <x v="0"/>
    <x v="0"/>
    <n v="2019"/>
    <s v="Jun"/>
    <s v="36-40"/>
    <s v="60K-90K"/>
  </r>
  <r>
    <s v="E0168"/>
    <x v="0"/>
    <x v="23"/>
    <x v="3"/>
    <x v="15"/>
    <s v="Junior"/>
    <n v="32840"/>
    <x v="163"/>
    <s v="MBA"/>
    <x v="2"/>
    <s v="Married"/>
    <n v="1"/>
    <n v="5"/>
    <n v="3"/>
    <s v="Average"/>
    <s v="Yes"/>
    <n v="197"/>
    <n v="25"/>
    <n v="25"/>
    <s v="No"/>
    <s v="No"/>
    <x v="1"/>
    <x v="2"/>
    <n v="2020"/>
    <s v="Mar"/>
    <s v="41-50"/>
    <s v="&lt;40K"/>
  </r>
  <r>
    <s v="E0169"/>
    <x v="1"/>
    <x v="4"/>
    <x v="6"/>
    <x v="22"/>
    <s v="Mid-Level"/>
    <n v="63808"/>
    <x v="164"/>
    <s v="Bachelor's"/>
    <x v="7"/>
    <s v="Divorced"/>
    <n v="6"/>
    <n v="4"/>
    <n v="3"/>
    <s v="Low"/>
    <s v="No"/>
    <n v="238"/>
    <n v="28"/>
    <n v="21"/>
    <s v="No"/>
    <s v="No"/>
    <x v="0"/>
    <x v="0"/>
    <n v="2020"/>
    <s v="Dec"/>
    <s v="26-30"/>
    <s v="60K-90K"/>
  </r>
  <r>
    <s v="E0170"/>
    <x v="0"/>
    <x v="19"/>
    <x v="2"/>
    <x v="2"/>
    <s v="Mid-Level"/>
    <n v="52851"/>
    <x v="165"/>
    <s v="MBA"/>
    <x v="6"/>
    <s v="Single"/>
    <n v="7"/>
    <n v="2"/>
    <n v="3"/>
    <s v="Good"/>
    <s v="No"/>
    <n v="171"/>
    <n v="31"/>
    <n v="9"/>
    <s v="No"/>
    <s v="Yes"/>
    <x v="1"/>
    <x v="1"/>
    <n v="2019"/>
    <s v="Nov"/>
    <s v="26-30"/>
    <s v="40K-60K"/>
  </r>
  <r>
    <s v="E0171"/>
    <x v="1"/>
    <x v="12"/>
    <x v="5"/>
    <x v="28"/>
    <s v="Junior"/>
    <n v="29577"/>
    <x v="166"/>
    <s v="PhD"/>
    <x v="1"/>
    <s v="Married"/>
    <n v="3"/>
    <n v="4"/>
    <n v="2"/>
    <s v="Average"/>
    <s v="No"/>
    <n v="213"/>
    <n v="25"/>
    <n v="16"/>
    <s v="Yes"/>
    <s v="No"/>
    <x v="1"/>
    <x v="1"/>
    <n v="2023"/>
    <s v="Nov"/>
    <s v="21-25"/>
    <s v="&lt;40K"/>
  </r>
  <r>
    <s v="E0172"/>
    <x v="1"/>
    <x v="19"/>
    <x v="0"/>
    <x v="0"/>
    <s v="Senior"/>
    <n v="71863"/>
    <x v="167"/>
    <s v="Bachelor's"/>
    <x v="4"/>
    <s v="Divorced"/>
    <n v="6"/>
    <n v="2"/>
    <n v="4"/>
    <s v="Excellent"/>
    <s v="Yes"/>
    <n v="243"/>
    <n v="8"/>
    <n v="15"/>
    <s v="No"/>
    <s v="Yes"/>
    <x v="1"/>
    <x v="1"/>
    <n v="2022"/>
    <s v="Nov"/>
    <s v="26-30"/>
    <s v="60K-90K"/>
  </r>
  <r>
    <s v="E0173"/>
    <x v="1"/>
    <x v="1"/>
    <x v="6"/>
    <x v="7"/>
    <s v="Junior"/>
    <n v="38849"/>
    <x v="168"/>
    <s v="MBA"/>
    <x v="0"/>
    <s v="Single"/>
    <n v="1"/>
    <n v="4"/>
    <n v="5"/>
    <s v="Low"/>
    <s v="No"/>
    <n v="243"/>
    <n v="55"/>
    <n v="20"/>
    <s v="No"/>
    <s v="No"/>
    <x v="1"/>
    <x v="2"/>
    <n v="2021"/>
    <s v="Feb"/>
    <s v="31-35"/>
    <s v="&lt;40K"/>
  </r>
  <r>
    <s v="E0174"/>
    <x v="0"/>
    <x v="11"/>
    <x v="0"/>
    <x v="0"/>
    <s v="Junior"/>
    <n v="42011"/>
    <x v="169"/>
    <s v="MBA"/>
    <x v="1"/>
    <s v="Married"/>
    <n v="0"/>
    <n v="5"/>
    <n v="4"/>
    <s v="Low"/>
    <s v="Yes"/>
    <n v="162"/>
    <n v="44"/>
    <n v="27"/>
    <s v="No"/>
    <s v="Yes"/>
    <x v="1"/>
    <x v="2"/>
    <n v="2022"/>
    <s v="Apr"/>
    <s v="31-35"/>
    <s v="40K-60K"/>
  </r>
  <r>
    <s v="E0175"/>
    <x v="1"/>
    <x v="8"/>
    <x v="5"/>
    <x v="28"/>
    <s v="Manager"/>
    <n v="114232"/>
    <x v="170"/>
    <s v="MBA"/>
    <x v="0"/>
    <s v="Married"/>
    <n v="13"/>
    <n v="3"/>
    <n v="2"/>
    <s v="Low"/>
    <s v="No"/>
    <n v="155"/>
    <n v="24"/>
    <n v="26"/>
    <s v="No"/>
    <s v="No"/>
    <x v="1"/>
    <x v="1"/>
    <n v="2023"/>
    <s v="Apr"/>
    <s v="31-35"/>
    <s v="90K-130K"/>
  </r>
  <r>
    <s v="E0176"/>
    <x v="0"/>
    <x v="6"/>
    <x v="3"/>
    <x v="4"/>
    <s v="Mid-Level"/>
    <n v="60140"/>
    <x v="171"/>
    <s v="Master's"/>
    <x v="6"/>
    <s v="Married"/>
    <n v="2"/>
    <n v="5"/>
    <n v="4"/>
    <s v="Low"/>
    <s v="No"/>
    <n v="237"/>
    <n v="55"/>
    <n v="30"/>
    <s v="No"/>
    <s v="No"/>
    <x v="1"/>
    <x v="1"/>
    <n v="2023"/>
    <s v="May"/>
    <s v="36-40"/>
    <s v="60K-90K"/>
  </r>
  <r>
    <s v="E0177"/>
    <x v="0"/>
    <x v="14"/>
    <x v="2"/>
    <x v="2"/>
    <s v="Mid-Level"/>
    <n v="47477"/>
    <x v="172"/>
    <s v="Master's"/>
    <x v="2"/>
    <s v="Married"/>
    <n v="3"/>
    <n v="2"/>
    <n v="1"/>
    <s v="Low"/>
    <s v="No"/>
    <n v="160"/>
    <n v="16"/>
    <n v="14"/>
    <s v="No"/>
    <s v="No"/>
    <x v="1"/>
    <x v="2"/>
    <n v="2021"/>
    <s v="Feb"/>
    <s v="31-35"/>
    <s v="40K-60K"/>
  </r>
  <r>
    <s v="E0178"/>
    <x v="1"/>
    <x v="3"/>
    <x v="5"/>
    <x v="25"/>
    <s v="Junior"/>
    <n v="41749"/>
    <x v="173"/>
    <s v="Diploma"/>
    <x v="1"/>
    <s v="Married"/>
    <n v="0"/>
    <n v="2"/>
    <n v="2"/>
    <s v="Good"/>
    <s v="No"/>
    <n v="225"/>
    <n v="57"/>
    <n v="10"/>
    <s v="No"/>
    <s v="Yes"/>
    <x v="1"/>
    <x v="2"/>
    <n v="2023"/>
    <s v="Aug"/>
    <s v="41-50"/>
    <s v="40K-60K"/>
  </r>
  <r>
    <s v="E0179"/>
    <x v="1"/>
    <x v="4"/>
    <x v="0"/>
    <x v="9"/>
    <s v="Senior"/>
    <n v="91409"/>
    <x v="174"/>
    <s v="Bachelor's"/>
    <x v="6"/>
    <s v="Married"/>
    <n v="7"/>
    <n v="5"/>
    <n v="4"/>
    <s v="Good"/>
    <s v="Yes"/>
    <n v="200"/>
    <n v="7"/>
    <n v="12"/>
    <s v="No"/>
    <s v="No"/>
    <x v="1"/>
    <x v="1"/>
    <n v="2025"/>
    <s v="Dec"/>
    <s v="26-30"/>
    <s v="90K-130K"/>
  </r>
  <r>
    <s v="E0180"/>
    <x v="1"/>
    <x v="27"/>
    <x v="7"/>
    <x v="29"/>
    <s v="Mid-Level"/>
    <n v="46403"/>
    <x v="175"/>
    <s v="Master's"/>
    <x v="7"/>
    <s v="Divorced"/>
    <n v="4"/>
    <n v="3"/>
    <n v="3"/>
    <s v="Excellent"/>
    <s v="No"/>
    <n v="203"/>
    <n v="71"/>
    <n v="29"/>
    <s v="No"/>
    <s v="Yes"/>
    <x v="1"/>
    <x v="1"/>
    <n v="2023"/>
    <s v="Dec"/>
    <s v="51-60"/>
    <s v="40K-60K"/>
  </r>
  <r>
    <s v="E0181"/>
    <x v="0"/>
    <x v="2"/>
    <x v="2"/>
    <x v="30"/>
    <s v="Manager"/>
    <n v="107779"/>
    <x v="176"/>
    <s v="Master's"/>
    <x v="5"/>
    <s v="Married"/>
    <n v="20"/>
    <n v="5"/>
    <n v="1"/>
    <s v="Low"/>
    <s v="Yes"/>
    <n v="174"/>
    <n v="51"/>
    <n v="24"/>
    <s v="Yes"/>
    <s v="No"/>
    <x v="1"/>
    <x v="1"/>
    <n v="2024"/>
    <s v="Nov"/>
    <s v="36-40"/>
    <s v="90K-130K"/>
  </r>
  <r>
    <s v="E0182"/>
    <x v="1"/>
    <x v="12"/>
    <x v="7"/>
    <x v="17"/>
    <s v="Junior"/>
    <n v="29001"/>
    <x v="177"/>
    <s v="MBA"/>
    <x v="4"/>
    <s v="Single"/>
    <n v="1"/>
    <n v="4"/>
    <n v="5"/>
    <s v="Good"/>
    <s v="No"/>
    <n v="172"/>
    <n v="16"/>
    <n v="11"/>
    <s v="Yes"/>
    <s v="No"/>
    <x v="1"/>
    <x v="2"/>
    <n v="2023"/>
    <s v="Mar"/>
    <s v="21-25"/>
    <s v="&lt;40K"/>
  </r>
  <r>
    <s v="E0183"/>
    <x v="0"/>
    <x v="10"/>
    <x v="6"/>
    <x v="26"/>
    <s v="Mid-Level"/>
    <n v="63213"/>
    <x v="178"/>
    <s v="Bachelor's"/>
    <x v="6"/>
    <s v="Single"/>
    <n v="3"/>
    <n v="2"/>
    <n v="3"/>
    <s v="Average"/>
    <s v="No"/>
    <n v="202"/>
    <n v="6"/>
    <n v="9"/>
    <s v="No"/>
    <s v="Yes"/>
    <x v="1"/>
    <x v="1"/>
    <n v="2026"/>
    <s v="Aug"/>
    <s v="21-25"/>
    <s v="60K-90K"/>
  </r>
  <r>
    <s v="E0184"/>
    <x v="1"/>
    <x v="0"/>
    <x v="4"/>
    <x v="18"/>
    <s v="Senior"/>
    <n v="95080"/>
    <x v="179"/>
    <s v="Bachelor's"/>
    <x v="4"/>
    <s v="Divorced"/>
    <n v="9"/>
    <n v="4"/>
    <n v="3"/>
    <s v="Good"/>
    <s v="No"/>
    <n v="216"/>
    <n v="43"/>
    <n v="23"/>
    <s v="Yes"/>
    <s v="No"/>
    <x v="1"/>
    <x v="2"/>
    <n v="2021"/>
    <s v="Jun"/>
    <s v="31-35"/>
    <s v="90K-130K"/>
  </r>
  <r>
    <s v="E0185"/>
    <x v="0"/>
    <x v="4"/>
    <x v="3"/>
    <x v="3"/>
    <s v="Senior"/>
    <n v="83145"/>
    <x v="180"/>
    <s v="Diploma"/>
    <x v="7"/>
    <s v="Divorced"/>
    <n v="9"/>
    <n v="3"/>
    <n v="2"/>
    <s v="Good"/>
    <s v="Yes"/>
    <n v="216"/>
    <n v="22"/>
    <n v="25"/>
    <s v="Yes"/>
    <s v="No"/>
    <x v="1"/>
    <x v="2"/>
    <n v="2026"/>
    <s v="May"/>
    <s v="26-30"/>
    <s v="60K-90K"/>
  </r>
  <r>
    <s v="E0186"/>
    <x v="1"/>
    <x v="2"/>
    <x v="5"/>
    <x v="25"/>
    <s v="Manager"/>
    <n v="140891"/>
    <x v="181"/>
    <s v="PhD"/>
    <x v="4"/>
    <s v="Divorced"/>
    <n v="19"/>
    <n v="5"/>
    <n v="5"/>
    <s v="Good"/>
    <s v="Yes"/>
    <n v="193"/>
    <n v="26"/>
    <n v="28"/>
    <s v="No"/>
    <s v="No"/>
    <x v="1"/>
    <x v="1"/>
    <n v="2019"/>
    <s v="May"/>
    <s v="36-40"/>
    <s v="130K+"/>
  </r>
  <r>
    <s v="E0187"/>
    <x v="1"/>
    <x v="0"/>
    <x v="2"/>
    <x v="2"/>
    <s v="Mid-Level"/>
    <n v="66278"/>
    <x v="182"/>
    <s v="MBA"/>
    <x v="7"/>
    <s v="Married"/>
    <n v="4"/>
    <n v="2"/>
    <n v="3"/>
    <s v="Good"/>
    <s v="No"/>
    <n v="161"/>
    <n v="38"/>
    <n v="20"/>
    <s v="No"/>
    <s v="No"/>
    <x v="1"/>
    <x v="2"/>
    <n v="2025"/>
    <s v="Apr"/>
    <s v="31-35"/>
    <s v="60K-90K"/>
  </r>
  <r>
    <s v="E0188"/>
    <x v="0"/>
    <x v="1"/>
    <x v="7"/>
    <x v="29"/>
    <s v="Junior"/>
    <n v="43473"/>
    <x v="183"/>
    <s v="Master's"/>
    <x v="3"/>
    <s v="Single"/>
    <n v="1"/>
    <n v="1"/>
    <n v="4"/>
    <s v="Good"/>
    <s v="No"/>
    <n v="188"/>
    <n v="57"/>
    <n v="20"/>
    <s v="No"/>
    <s v="No"/>
    <x v="0"/>
    <x v="0"/>
    <n v="2024"/>
    <s v="Aug"/>
    <s v="31-35"/>
    <s v="40K-60K"/>
  </r>
  <r>
    <s v="E0189"/>
    <x v="0"/>
    <x v="19"/>
    <x v="3"/>
    <x v="21"/>
    <s v="Junior"/>
    <n v="43977"/>
    <x v="9"/>
    <s v="Master's"/>
    <x v="3"/>
    <s v="Divorced"/>
    <n v="2"/>
    <n v="2"/>
    <n v="3"/>
    <s v="Average"/>
    <s v="No"/>
    <n v="157"/>
    <n v="67"/>
    <n v="27"/>
    <s v="Yes"/>
    <s v="Yes"/>
    <x v="1"/>
    <x v="1"/>
    <n v="2026"/>
    <s v="Jan"/>
    <s v="26-30"/>
    <s v="40K-60K"/>
  </r>
  <r>
    <s v="E0190"/>
    <x v="1"/>
    <x v="9"/>
    <x v="4"/>
    <x v="18"/>
    <s v="Manager"/>
    <n v="152573"/>
    <x v="184"/>
    <s v="MBA"/>
    <x v="0"/>
    <s v="Single"/>
    <n v="14"/>
    <n v="1"/>
    <n v="5"/>
    <s v="Low"/>
    <s v="Yes"/>
    <n v="243"/>
    <n v="36"/>
    <n v="9"/>
    <s v="No"/>
    <s v="No"/>
    <x v="1"/>
    <x v="1"/>
    <n v="2019"/>
    <s v="Jan"/>
    <s v="21-25"/>
    <s v="130K+"/>
  </r>
  <r>
    <s v="E0191"/>
    <x v="1"/>
    <x v="7"/>
    <x v="6"/>
    <x v="7"/>
    <s v="Manager"/>
    <n v="155973"/>
    <x v="185"/>
    <s v="Diploma"/>
    <x v="4"/>
    <s v="Married"/>
    <n v="17"/>
    <n v="2"/>
    <n v="1"/>
    <s v="Average"/>
    <s v="Yes"/>
    <n v="188"/>
    <n v="48"/>
    <n v="30"/>
    <s v="No"/>
    <s v="No"/>
    <x v="1"/>
    <x v="1"/>
    <n v="2022"/>
    <s v="Jun"/>
    <s v="26-30"/>
    <s v="130K+"/>
  </r>
  <r>
    <s v="E0192"/>
    <x v="0"/>
    <x v="6"/>
    <x v="6"/>
    <x v="24"/>
    <s v="Junior"/>
    <n v="35484"/>
    <x v="186"/>
    <s v="Bachelor's"/>
    <x v="7"/>
    <s v="Divorced"/>
    <n v="1"/>
    <n v="2"/>
    <n v="1"/>
    <s v="Good"/>
    <s v="No"/>
    <n v="214"/>
    <n v="73"/>
    <n v="21"/>
    <s v="Yes"/>
    <s v="No"/>
    <x v="0"/>
    <x v="0"/>
    <n v="2020"/>
    <s v="Jun"/>
    <s v="36-40"/>
    <s v="&lt;40K"/>
  </r>
  <r>
    <s v="E0193"/>
    <x v="0"/>
    <x v="8"/>
    <x v="2"/>
    <x v="23"/>
    <s v="Junior"/>
    <n v="31794"/>
    <x v="75"/>
    <s v="Master's"/>
    <x v="5"/>
    <s v="Married"/>
    <n v="3"/>
    <n v="4"/>
    <n v="1"/>
    <s v="Excellent"/>
    <s v="No"/>
    <n v="182"/>
    <n v="17"/>
    <n v="23"/>
    <s v="No"/>
    <s v="No"/>
    <x v="1"/>
    <x v="1"/>
    <n v="2023"/>
    <s v="Dec"/>
    <s v="31-35"/>
    <s v="&lt;40K"/>
  </r>
  <r>
    <s v="E0194"/>
    <x v="0"/>
    <x v="15"/>
    <x v="4"/>
    <x v="27"/>
    <s v="Junior"/>
    <n v="37263"/>
    <x v="187"/>
    <s v="Master's"/>
    <x v="4"/>
    <s v="Divorced"/>
    <n v="0"/>
    <n v="4"/>
    <n v="2"/>
    <s v="Excellent"/>
    <s v="No"/>
    <n v="175"/>
    <n v="42"/>
    <n v="7"/>
    <s v="Yes"/>
    <s v="No"/>
    <x v="1"/>
    <x v="2"/>
    <n v="2020"/>
    <s v="Mar"/>
    <s v="21-25"/>
    <s v="&lt;40K"/>
  </r>
  <r>
    <s v="E0195"/>
    <x v="0"/>
    <x v="8"/>
    <x v="7"/>
    <x v="20"/>
    <s v="Mid-Level"/>
    <n v="42089"/>
    <x v="188"/>
    <s v="Bachelor's"/>
    <x v="1"/>
    <s v="Divorced"/>
    <n v="2"/>
    <n v="1"/>
    <n v="1"/>
    <s v="Low"/>
    <s v="No"/>
    <n v="235"/>
    <n v="37"/>
    <n v="22"/>
    <s v="Yes"/>
    <s v="No"/>
    <x v="0"/>
    <x v="0"/>
    <n v="2026"/>
    <s v="Jul"/>
    <s v="31-35"/>
    <s v="40K-60K"/>
  </r>
  <r>
    <s v="E0196"/>
    <x v="1"/>
    <x v="11"/>
    <x v="5"/>
    <x v="6"/>
    <s v="Manager"/>
    <n v="96564"/>
    <x v="189"/>
    <s v="Bachelor's"/>
    <x v="1"/>
    <s v="Single"/>
    <n v="9"/>
    <n v="1"/>
    <n v="3"/>
    <s v="Low"/>
    <s v="No"/>
    <n v="252"/>
    <n v="22"/>
    <n v="23"/>
    <s v="No"/>
    <s v="No"/>
    <x v="1"/>
    <x v="1"/>
    <n v="2020"/>
    <s v="Dec"/>
    <s v="31-35"/>
    <s v="90K-130K"/>
  </r>
  <r>
    <s v="E0197"/>
    <x v="1"/>
    <x v="12"/>
    <x v="3"/>
    <x v="4"/>
    <s v="Senior"/>
    <n v="71091"/>
    <x v="190"/>
    <s v="PhD"/>
    <x v="6"/>
    <s v="Married"/>
    <n v="10"/>
    <n v="2"/>
    <n v="1"/>
    <s v="Average"/>
    <s v="No"/>
    <n v="201"/>
    <n v="19"/>
    <n v="6"/>
    <s v="No"/>
    <s v="No"/>
    <x v="1"/>
    <x v="1"/>
    <n v="2022"/>
    <s v="Nov"/>
    <s v="21-25"/>
    <s v="60K-90K"/>
  </r>
  <r>
    <s v="E0198"/>
    <x v="0"/>
    <x v="8"/>
    <x v="2"/>
    <x v="2"/>
    <s v="Manager"/>
    <n v="147430"/>
    <x v="191"/>
    <s v="PhD"/>
    <x v="1"/>
    <s v="Married"/>
    <n v="10"/>
    <n v="4"/>
    <n v="3"/>
    <s v="Excellent"/>
    <s v="No"/>
    <n v="153"/>
    <n v="10"/>
    <n v="4"/>
    <s v="No"/>
    <s v="No"/>
    <x v="1"/>
    <x v="1"/>
    <n v="2025"/>
    <s v="Nov"/>
    <s v="31-35"/>
    <s v="130K+"/>
  </r>
  <r>
    <s v="E0199"/>
    <x v="0"/>
    <x v="14"/>
    <x v="1"/>
    <x v="11"/>
    <s v="Junior"/>
    <n v="42183"/>
    <x v="192"/>
    <s v="Master's"/>
    <x v="6"/>
    <s v="Married"/>
    <n v="1"/>
    <n v="3"/>
    <n v="4"/>
    <s v="Average"/>
    <s v="Yes"/>
    <n v="257"/>
    <n v="14"/>
    <n v="26"/>
    <s v="No"/>
    <s v="Yes"/>
    <x v="0"/>
    <x v="0"/>
    <n v="2024"/>
    <s v="May"/>
    <s v="31-35"/>
    <s v="40K-60K"/>
  </r>
  <r>
    <s v="E0200"/>
    <x v="1"/>
    <x v="15"/>
    <x v="1"/>
    <x v="11"/>
    <s v="Senior"/>
    <n v="68299"/>
    <x v="193"/>
    <s v="PhD"/>
    <x v="6"/>
    <s v="Single"/>
    <n v="13"/>
    <n v="5"/>
    <n v="4"/>
    <s v="Excellent"/>
    <s v="No"/>
    <n v="254"/>
    <n v="62"/>
    <n v="12"/>
    <s v="Yes"/>
    <s v="No"/>
    <x v="0"/>
    <x v="0"/>
    <n v="2021"/>
    <s v="Jul"/>
    <s v="21-25"/>
    <s v="60K-90K"/>
  </r>
  <r>
    <s v="E0201"/>
    <x v="1"/>
    <x v="11"/>
    <x v="0"/>
    <x v="10"/>
    <s v="Manager"/>
    <n v="144046"/>
    <x v="194"/>
    <s v="Diploma"/>
    <x v="0"/>
    <s v="Divorced"/>
    <n v="8"/>
    <n v="5"/>
    <n v="1"/>
    <s v="Excellent"/>
    <s v="Yes"/>
    <n v="251"/>
    <n v="48"/>
    <n v="13"/>
    <s v="Yes"/>
    <s v="No"/>
    <x v="1"/>
    <x v="1"/>
    <n v="2025"/>
    <s v="Apr"/>
    <s v="31-35"/>
    <s v="130K+"/>
  </r>
  <r>
    <s v="E0202"/>
    <x v="1"/>
    <x v="0"/>
    <x v="3"/>
    <x v="4"/>
    <s v="Senior"/>
    <n v="94657"/>
    <x v="195"/>
    <s v="MBA"/>
    <x v="1"/>
    <s v="Single"/>
    <n v="6"/>
    <n v="2"/>
    <n v="1"/>
    <s v="Average"/>
    <s v="No"/>
    <n v="195"/>
    <n v="68"/>
    <n v="6"/>
    <s v="No"/>
    <s v="No"/>
    <x v="1"/>
    <x v="2"/>
    <n v="2020"/>
    <s v="Feb"/>
    <s v="31-35"/>
    <s v="90K-130K"/>
  </r>
  <r>
    <s v="E0203"/>
    <x v="0"/>
    <x v="20"/>
    <x v="5"/>
    <x v="13"/>
    <s v="Mid-Level"/>
    <n v="45956"/>
    <x v="196"/>
    <s v="Bachelor's"/>
    <x v="1"/>
    <s v="Married"/>
    <n v="5"/>
    <n v="4"/>
    <n v="2"/>
    <s v="Excellent"/>
    <s v="No"/>
    <n v="193"/>
    <n v="80"/>
    <n v="18"/>
    <s v="Yes"/>
    <s v="Yes"/>
    <x v="1"/>
    <x v="2"/>
    <n v="2021"/>
    <s v="Jun"/>
    <s v="36-40"/>
    <s v="40K-60K"/>
  </r>
  <r>
    <s v="E0204"/>
    <x v="0"/>
    <x v="20"/>
    <x v="0"/>
    <x v="16"/>
    <s v="Manager"/>
    <n v="156628"/>
    <x v="197"/>
    <s v="Diploma"/>
    <x v="4"/>
    <s v="Divorced"/>
    <n v="20"/>
    <n v="5"/>
    <n v="2"/>
    <s v="Excellent"/>
    <s v="No"/>
    <n v="254"/>
    <n v="58"/>
    <n v="21"/>
    <s v="No"/>
    <s v="No"/>
    <x v="0"/>
    <x v="0"/>
    <n v="2020"/>
    <s v="Dec"/>
    <s v="36-40"/>
    <s v="130K+"/>
  </r>
  <r>
    <s v="E0205"/>
    <x v="0"/>
    <x v="13"/>
    <x v="5"/>
    <x v="25"/>
    <s v="Senior"/>
    <n v="84278"/>
    <x v="198"/>
    <s v="Diploma"/>
    <x v="4"/>
    <s v="Divorced"/>
    <n v="12"/>
    <n v="2"/>
    <n v="4"/>
    <s v="Average"/>
    <s v="No"/>
    <n v="239"/>
    <n v="30"/>
    <n v="8"/>
    <s v="No"/>
    <s v="No"/>
    <x v="1"/>
    <x v="1"/>
    <n v="2020"/>
    <s v="Jun"/>
    <s v="21-25"/>
    <s v="60K-90K"/>
  </r>
  <r>
    <s v="E0206"/>
    <x v="1"/>
    <x v="12"/>
    <x v="6"/>
    <x v="26"/>
    <s v="Senior"/>
    <n v="72563"/>
    <x v="199"/>
    <s v="Diploma"/>
    <x v="2"/>
    <s v="Married"/>
    <n v="10"/>
    <n v="4"/>
    <n v="5"/>
    <s v="Low"/>
    <s v="No"/>
    <n v="235"/>
    <n v="71"/>
    <n v="5"/>
    <s v="Yes"/>
    <s v="No"/>
    <x v="1"/>
    <x v="2"/>
    <n v="2025"/>
    <s v="Apr"/>
    <s v="21-25"/>
    <s v="60K-90K"/>
  </r>
  <r>
    <s v="E0207"/>
    <x v="0"/>
    <x v="0"/>
    <x v="0"/>
    <x v="10"/>
    <s v="Mid-Level"/>
    <n v="50748"/>
    <x v="200"/>
    <s v="Diploma"/>
    <x v="5"/>
    <s v="Married"/>
    <n v="3"/>
    <n v="3"/>
    <n v="2"/>
    <s v="Excellent"/>
    <s v="Yes"/>
    <n v="238"/>
    <n v="18"/>
    <n v="21"/>
    <s v="No"/>
    <s v="No"/>
    <x v="0"/>
    <x v="0"/>
    <n v="2022"/>
    <s v="Mar"/>
    <s v="31-35"/>
    <s v="40K-60K"/>
  </r>
  <r>
    <s v="E0208"/>
    <x v="0"/>
    <x v="0"/>
    <x v="4"/>
    <x v="19"/>
    <s v="Senior"/>
    <n v="108548"/>
    <x v="170"/>
    <s v="MBA"/>
    <x v="0"/>
    <s v="Divorced"/>
    <n v="5"/>
    <n v="4"/>
    <n v="4"/>
    <s v="Excellent"/>
    <s v="No"/>
    <n v="190"/>
    <n v="33"/>
    <n v="22"/>
    <s v="No"/>
    <s v="Yes"/>
    <x v="0"/>
    <x v="0"/>
    <n v="2023"/>
    <s v="Apr"/>
    <s v="31-35"/>
    <s v="90K-130K"/>
  </r>
  <r>
    <s v="E0209"/>
    <x v="1"/>
    <x v="0"/>
    <x v="1"/>
    <x v="14"/>
    <s v="Senior"/>
    <n v="94413"/>
    <x v="201"/>
    <s v="PhD"/>
    <x v="2"/>
    <s v="Divorced"/>
    <n v="7"/>
    <n v="2"/>
    <n v="2"/>
    <s v="Good"/>
    <s v="No"/>
    <n v="215"/>
    <n v="21"/>
    <n v="7"/>
    <s v="No"/>
    <s v="Yes"/>
    <x v="1"/>
    <x v="1"/>
    <n v="2019"/>
    <s v="Nov"/>
    <s v="31-35"/>
    <s v="90K-130K"/>
  </r>
  <r>
    <s v="E0210"/>
    <x v="0"/>
    <x v="28"/>
    <x v="3"/>
    <x v="4"/>
    <s v="Mid-Level"/>
    <n v="43308"/>
    <x v="202"/>
    <s v="Diploma"/>
    <x v="4"/>
    <s v="Single"/>
    <n v="3"/>
    <n v="5"/>
    <n v="1"/>
    <s v="Good"/>
    <s v="No"/>
    <n v="228"/>
    <n v="72"/>
    <n v="9"/>
    <s v="Yes"/>
    <s v="No"/>
    <x v="1"/>
    <x v="1"/>
    <n v="2022"/>
    <s v="Aug"/>
    <s v="51-60"/>
    <s v="40K-60K"/>
  </r>
  <r>
    <s v="E0211"/>
    <x v="0"/>
    <x v="0"/>
    <x v="4"/>
    <x v="18"/>
    <s v="Junior"/>
    <n v="39449"/>
    <x v="203"/>
    <s v="Diploma"/>
    <x v="6"/>
    <s v="Divorced"/>
    <n v="1"/>
    <n v="3"/>
    <n v="3"/>
    <s v="Low"/>
    <s v="No"/>
    <n v="187"/>
    <n v="19"/>
    <n v="23"/>
    <s v="No"/>
    <s v="No"/>
    <x v="1"/>
    <x v="2"/>
    <n v="2021"/>
    <s v="May"/>
    <s v="31-35"/>
    <s v="&lt;40K"/>
  </r>
  <r>
    <s v="E0212"/>
    <x v="0"/>
    <x v="20"/>
    <x v="1"/>
    <x v="31"/>
    <s v="Senior"/>
    <n v="89993"/>
    <x v="204"/>
    <s v="MBA"/>
    <x v="6"/>
    <s v="Married"/>
    <n v="6"/>
    <n v="3"/>
    <n v="5"/>
    <s v="Low"/>
    <s v="No"/>
    <n v="186"/>
    <n v="42"/>
    <n v="30"/>
    <s v="No"/>
    <s v="Yes"/>
    <x v="1"/>
    <x v="1"/>
    <n v="2023"/>
    <s v="Apr"/>
    <s v="36-40"/>
    <s v="60K-90K"/>
  </r>
  <r>
    <s v="E0213"/>
    <x v="1"/>
    <x v="21"/>
    <x v="2"/>
    <x v="23"/>
    <s v="Mid-Level"/>
    <n v="67340"/>
    <x v="205"/>
    <s v="PhD"/>
    <x v="1"/>
    <s v="Single"/>
    <n v="6"/>
    <n v="1"/>
    <n v="1"/>
    <s v="Excellent"/>
    <s v="Yes"/>
    <n v="235"/>
    <n v="14"/>
    <n v="25"/>
    <s v="No"/>
    <s v="No"/>
    <x v="1"/>
    <x v="1"/>
    <n v="2024"/>
    <s v="Dec"/>
    <s v="36-40"/>
    <s v="60K-90K"/>
  </r>
  <r>
    <s v="E0214"/>
    <x v="0"/>
    <x v="2"/>
    <x v="7"/>
    <x v="20"/>
    <s v="Junior"/>
    <n v="30867"/>
    <x v="206"/>
    <s v="PhD"/>
    <x v="7"/>
    <s v="Married"/>
    <n v="0"/>
    <n v="2"/>
    <n v="3"/>
    <s v="Excellent"/>
    <s v="No"/>
    <n v="159"/>
    <n v="60"/>
    <n v="12"/>
    <s v="Yes"/>
    <s v="No"/>
    <x v="1"/>
    <x v="2"/>
    <n v="2019"/>
    <s v="Aug"/>
    <s v="36-40"/>
    <s v="&lt;40K"/>
  </r>
  <r>
    <s v="E0215"/>
    <x v="0"/>
    <x v="17"/>
    <x v="0"/>
    <x v="10"/>
    <s v="Junior"/>
    <n v="30378"/>
    <x v="207"/>
    <s v="PhD"/>
    <x v="7"/>
    <s v="Married"/>
    <n v="2"/>
    <n v="1"/>
    <n v="3"/>
    <s v="Low"/>
    <s v="No"/>
    <n v="188"/>
    <n v="65"/>
    <n v="7"/>
    <s v="No"/>
    <s v="Yes"/>
    <x v="1"/>
    <x v="1"/>
    <n v="2024"/>
    <s v="Aug"/>
    <s v="26-30"/>
    <s v="&lt;40K"/>
  </r>
  <r>
    <s v="E0216"/>
    <x v="0"/>
    <x v="6"/>
    <x v="4"/>
    <x v="5"/>
    <s v="Mid-Level"/>
    <n v="51766"/>
    <x v="208"/>
    <s v="Bachelor's"/>
    <x v="7"/>
    <s v="Divorced"/>
    <n v="7"/>
    <n v="3"/>
    <n v="1"/>
    <s v="Low"/>
    <s v="No"/>
    <n v="221"/>
    <n v="44"/>
    <n v="8"/>
    <s v="No"/>
    <s v="No"/>
    <x v="0"/>
    <x v="0"/>
    <n v="2026"/>
    <s v="Apr"/>
    <s v="36-40"/>
    <s v="40K-60K"/>
  </r>
  <r>
    <s v="E0217"/>
    <x v="1"/>
    <x v="19"/>
    <x v="1"/>
    <x v="1"/>
    <s v="Mid-Level"/>
    <n v="47274"/>
    <x v="209"/>
    <s v="Diploma"/>
    <x v="5"/>
    <s v="Divorced"/>
    <n v="3"/>
    <n v="5"/>
    <n v="3"/>
    <s v="Excellent"/>
    <s v="Yes"/>
    <n v="164"/>
    <n v="75"/>
    <n v="4"/>
    <s v="No"/>
    <s v="No"/>
    <x v="1"/>
    <x v="1"/>
    <n v="2021"/>
    <s v="Jun"/>
    <s v="26-30"/>
    <s v="40K-60K"/>
  </r>
  <r>
    <s v="E0218"/>
    <x v="1"/>
    <x v="4"/>
    <x v="2"/>
    <x v="12"/>
    <s v="Manager"/>
    <n v="133365"/>
    <x v="210"/>
    <s v="MBA"/>
    <x v="6"/>
    <s v="Married"/>
    <n v="13"/>
    <n v="2"/>
    <n v="1"/>
    <s v="Good"/>
    <s v="No"/>
    <n v="229"/>
    <n v="44"/>
    <n v="24"/>
    <s v="No"/>
    <s v="Yes"/>
    <x v="1"/>
    <x v="1"/>
    <n v="2020"/>
    <s v="Jun"/>
    <s v="26-30"/>
    <s v="130K+"/>
  </r>
  <r>
    <s v="E0219"/>
    <x v="1"/>
    <x v="7"/>
    <x v="3"/>
    <x v="4"/>
    <s v="Mid-Level"/>
    <n v="42158"/>
    <x v="211"/>
    <s v="MBA"/>
    <x v="6"/>
    <s v="Married"/>
    <n v="4"/>
    <n v="2"/>
    <n v="4"/>
    <s v="Excellent"/>
    <s v="No"/>
    <n v="257"/>
    <n v="50"/>
    <n v="26"/>
    <s v="No"/>
    <s v="No"/>
    <x v="0"/>
    <x v="0"/>
    <n v="2021"/>
    <s v="Oct"/>
    <s v="26-30"/>
    <s v="40K-60K"/>
  </r>
  <r>
    <s v="E0220"/>
    <x v="1"/>
    <x v="14"/>
    <x v="2"/>
    <x v="12"/>
    <s v="Junior"/>
    <n v="37195"/>
    <x v="101"/>
    <s v="Bachelor's"/>
    <x v="5"/>
    <s v="Divorced"/>
    <n v="1"/>
    <n v="2"/>
    <n v="3"/>
    <s v="Excellent"/>
    <s v="No"/>
    <n v="230"/>
    <n v="80"/>
    <n v="8"/>
    <s v="Yes"/>
    <s v="Yes"/>
    <x v="1"/>
    <x v="1"/>
    <n v="2025"/>
    <s v="Jan"/>
    <s v="31-35"/>
    <s v="&lt;40K"/>
  </r>
  <r>
    <s v="E0221"/>
    <x v="1"/>
    <x v="29"/>
    <x v="6"/>
    <x v="22"/>
    <s v="Manager"/>
    <n v="119269"/>
    <x v="212"/>
    <s v="Diploma"/>
    <x v="5"/>
    <s v="Divorced"/>
    <n v="20"/>
    <n v="3"/>
    <n v="2"/>
    <s v="Average"/>
    <s v="No"/>
    <n v="214"/>
    <n v="26"/>
    <n v="26"/>
    <s v="No"/>
    <s v="Yes"/>
    <x v="1"/>
    <x v="1"/>
    <n v="2025"/>
    <s v="Aug"/>
    <s v="41-50"/>
    <s v="90K-130K"/>
  </r>
  <r>
    <s v="E0222"/>
    <x v="1"/>
    <x v="9"/>
    <x v="6"/>
    <x v="26"/>
    <s v="Mid-Level"/>
    <n v="66114"/>
    <x v="213"/>
    <s v="MBA"/>
    <x v="4"/>
    <s v="Single"/>
    <n v="7"/>
    <n v="3"/>
    <n v="1"/>
    <s v="Low"/>
    <s v="Yes"/>
    <n v="247"/>
    <n v="31"/>
    <n v="18"/>
    <s v="No"/>
    <s v="No"/>
    <x v="0"/>
    <x v="0"/>
    <n v="2024"/>
    <s v="Jun"/>
    <s v="21-25"/>
    <s v="60K-90K"/>
  </r>
  <r>
    <s v="E0223"/>
    <x v="1"/>
    <x v="2"/>
    <x v="7"/>
    <x v="17"/>
    <s v="Junior"/>
    <n v="29307"/>
    <x v="214"/>
    <s v="PhD"/>
    <x v="4"/>
    <s v="Divorced"/>
    <n v="2"/>
    <n v="5"/>
    <n v="3"/>
    <s v="Low"/>
    <s v="No"/>
    <n v="183"/>
    <n v="71"/>
    <n v="10"/>
    <s v="No"/>
    <s v="No"/>
    <x v="1"/>
    <x v="1"/>
    <n v="2020"/>
    <s v="Feb"/>
    <s v="36-40"/>
    <s v="&lt;40K"/>
  </r>
  <r>
    <s v="E0224"/>
    <x v="1"/>
    <x v="9"/>
    <x v="3"/>
    <x v="3"/>
    <s v="Manager"/>
    <n v="153191"/>
    <x v="215"/>
    <s v="MBA"/>
    <x v="0"/>
    <s v="Single"/>
    <n v="17"/>
    <n v="5"/>
    <n v="2"/>
    <s v="Average"/>
    <s v="No"/>
    <n v="171"/>
    <n v="25"/>
    <n v="13"/>
    <s v="No"/>
    <s v="No"/>
    <x v="0"/>
    <x v="0"/>
    <n v="2019"/>
    <s v="Jan"/>
    <s v="21-25"/>
    <s v="130K+"/>
  </r>
  <r>
    <s v="E0225"/>
    <x v="0"/>
    <x v="7"/>
    <x v="1"/>
    <x v="1"/>
    <s v="Senior"/>
    <n v="72427"/>
    <x v="216"/>
    <s v="PhD"/>
    <x v="5"/>
    <s v="Single"/>
    <n v="12"/>
    <n v="4"/>
    <n v="4"/>
    <s v="Low"/>
    <s v="Yes"/>
    <n v="225"/>
    <n v="21"/>
    <n v="20"/>
    <s v="No"/>
    <s v="No"/>
    <x v="1"/>
    <x v="1"/>
    <n v="2026"/>
    <s v="Jul"/>
    <s v="26-30"/>
    <s v="60K-90K"/>
  </r>
  <r>
    <s v="E0226"/>
    <x v="0"/>
    <x v="20"/>
    <x v="0"/>
    <x v="9"/>
    <s v="Junior"/>
    <n v="33450"/>
    <x v="217"/>
    <s v="MBA"/>
    <x v="1"/>
    <s v="Single"/>
    <n v="2"/>
    <n v="5"/>
    <n v="4"/>
    <s v="Excellent"/>
    <s v="No"/>
    <n v="222"/>
    <n v="65"/>
    <n v="29"/>
    <s v="No"/>
    <s v="Yes"/>
    <x v="1"/>
    <x v="1"/>
    <n v="2021"/>
    <s v="Jan"/>
    <s v="36-40"/>
    <s v="&lt;40K"/>
  </r>
  <r>
    <s v="E0227"/>
    <x v="0"/>
    <x v="14"/>
    <x v="4"/>
    <x v="19"/>
    <s v="Mid-Level"/>
    <n v="62421"/>
    <x v="218"/>
    <s v="Diploma"/>
    <x v="1"/>
    <s v="Single"/>
    <n v="7"/>
    <n v="3"/>
    <n v="2"/>
    <s v="Excellent"/>
    <s v="No"/>
    <n v="237"/>
    <n v="54"/>
    <n v="6"/>
    <s v="Yes"/>
    <s v="No"/>
    <x v="1"/>
    <x v="1"/>
    <n v="2024"/>
    <s v="Sep"/>
    <s v="31-35"/>
    <s v="60K-90K"/>
  </r>
  <r>
    <s v="E0228"/>
    <x v="0"/>
    <x v="10"/>
    <x v="4"/>
    <x v="19"/>
    <s v="Junior"/>
    <n v="33813"/>
    <x v="219"/>
    <s v="Master's"/>
    <x v="5"/>
    <s v="Divorced"/>
    <n v="3"/>
    <n v="5"/>
    <n v="1"/>
    <s v="Excellent"/>
    <s v="No"/>
    <n v="214"/>
    <n v="71"/>
    <n v="15"/>
    <s v="No"/>
    <s v="Yes"/>
    <x v="0"/>
    <x v="0"/>
    <n v="2025"/>
    <s v="Nov"/>
    <s v="21-25"/>
    <s v="&lt;40K"/>
  </r>
  <r>
    <s v="E0229"/>
    <x v="0"/>
    <x v="19"/>
    <x v="4"/>
    <x v="19"/>
    <s v="Manager"/>
    <n v="139969"/>
    <x v="220"/>
    <s v="Master's"/>
    <x v="1"/>
    <s v="Married"/>
    <n v="13"/>
    <n v="5"/>
    <n v="1"/>
    <s v="Excellent"/>
    <s v="No"/>
    <n v="167"/>
    <n v="37"/>
    <n v="8"/>
    <s v="Yes"/>
    <s v="No"/>
    <x v="1"/>
    <x v="1"/>
    <n v="2025"/>
    <s v="Aug"/>
    <s v="26-30"/>
    <s v="130K+"/>
  </r>
  <r>
    <s v="E0230"/>
    <x v="0"/>
    <x v="2"/>
    <x v="0"/>
    <x v="16"/>
    <s v="Mid-Level"/>
    <n v="64536"/>
    <x v="221"/>
    <s v="Diploma"/>
    <x v="7"/>
    <s v="Divorced"/>
    <n v="4"/>
    <n v="3"/>
    <n v="1"/>
    <s v="Good"/>
    <s v="Yes"/>
    <n v="204"/>
    <n v="40"/>
    <n v="23"/>
    <s v="No"/>
    <s v="No"/>
    <x v="1"/>
    <x v="1"/>
    <n v="2023"/>
    <s v="Aug"/>
    <s v="36-40"/>
    <s v="60K-90K"/>
  </r>
  <r>
    <s v="E0231"/>
    <x v="1"/>
    <x v="19"/>
    <x v="7"/>
    <x v="8"/>
    <s v="Senior"/>
    <n v="101640"/>
    <x v="222"/>
    <s v="Bachelor's"/>
    <x v="0"/>
    <s v="Married"/>
    <n v="13"/>
    <n v="3"/>
    <n v="3"/>
    <s v="Average"/>
    <s v="No"/>
    <n v="194"/>
    <n v="17"/>
    <n v="8"/>
    <s v="No"/>
    <s v="No"/>
    <x v="1"/>
    <x v="2"/>
    <n v="2024"/>
    <s v="Jun"/>
    <s v="26-30"/>
    <s v="90K-130K"/>
  </r>
  <r>
    <s v="E0232"/>
    <x v="1"/>
    <x v="8"/>
    <x v="0"/>
    <x v="9"/>
    <s v="Manager"/>
    <n v="90693"/>
    <x v="223"/>
    <s v="Master's"/>
    <x v="4"/>
    <s v="Single"/>
    <n v="20"/>
    <n v="2"/>
    <n v="4"/>
    <s v="Low"/>
    <s v="No"/>
    <n v="205"/>
    <n v="54"/>
    <n v="14"/>
    <s v="No"/>
    <s v="Yes"/>
    <x v="0"/>
    <x v="0"/>
    <n v="2020"/>
    <s v="Jan"/>
    <s v="31-35"/>
    <s v="90K-130K"/>
  </r>
  <r>
    <s v="E0233"/>
    <x v="1"/>
    <x v="14"/>
    <x v="0"/>
    <x v="9"/>
    <s v="Manager"/>
    <n v="147536"/>
    <x v="224"/>
    <s v="Bachelor's"/>
    <x v="4"/>
    <s v="Single"/>
    <n v="8"/>
    <n v="5"/>
    <n v="3"/>
    <s v="Low"/>
    <s v="Yes"/>
    <n v="154"/>
    <n v="25"/>
    <n v="4"/>
    <s v="No"/>
    <s v="No"/>
    <x v="1"/>
    <x v="2"/>
    <n v="2021"/>
    <s v="Apr"/>
    <s v="31-35"/>
    <s v="130K+"/>
  </r>
  <r>
    <s v="E0234"/>
    <x v="1"/>
    <x v="16"/>
    <x v="4"/>
    <x v="18"/>
    <s v="Mid-Level"/>
    <n v="58965"/>
    <x v="225"/>
    <s v="MBA"/>
    <x v="0"/>
    <s v="Divorced"/>
    <n v="2"/>
    <n v="1"/>
    <n v="5"/>
    <s v="Average"/>
    <s v="No"/>
    <n v="242"/>
    <n v="63"/>
    <n v="14"/>
    <s v="No"/>
    <s v="No"/>
    <x v="1"/>
    <x v="1"/>
    <n v="2019"/>
    <s v="Oct"/>
    <s v="26-30"/>
    <s v="40K-60K"/>
  </r>
  <r>
    <s v="E0235"/>
    <x v="1"/>
    <x v="25"/>
    <x v="6"/>
    <x v="24"/>
    <s v="Junior"/>
    <n v="30371"/>
    <x v="226"/>
    <s v="PhD"/>
    <x v="6"/>
    <s v="Single"/>
    <n v="2"/>
    <n v="1"/>
    <n v="5"/>
    <s v="Good"/>
    <s v="No"/>
    <n v="218"/>
    <n v="63"/>
    <n v="23"/>
    <s v="No"/>
    <s v="No"/>
    <x v="1"/>
    <x v="1"/>
    <n v="2022"/>
    <s v="Oct"/>
    <s v="41-50"/>
    <s v="&lt;40K"/>
  </r>
  <r>
    <s v="E0236"/>
    <x v="1"/>
    <x v="2"/>
    <x v="2"/>
    <x v="30"/>
    <s v="Junior"/>
    <n v="40539"/>
    <x v="227"/>
    <s v="MBA"/>
    <x v="0"/>
    <s v="Married"/>
    <n v="1"/>
    <n v="2"/>
    <n v="3"/>
    <s v="Low"/>
    <s v="No"/>
    <n v="195"/>
    <n v="56"/>
    <n v="23"/>
    <s v="No"/>
    <s v="Yes"/>
    <x v="1"/>
    <x v="1"/>
    <n v="2026"/>
    <s v="Aug"/>
    <s v="36-40"/>
    <s v="40K-60K"/>
  </r>
  <r>
    <s v="E0237"/>
    <x v="0"/>
    <x v="9"/>
    <x v="6"/>
    <x v="24"/>
    <s v="Senior"/>
    <n v="88169"/>
    <x v="228"/>
    <s v="Master's"/>
    <x v="0"/>
    <s v="Divorced"/>
    <n v="8"/>
    <n v="3"/>
    <n v="2"/>
    <s v="Average"/>
    <s v="No"/>
    <n v="237"/>
    <n v="38"/>
    <n v="8"/>
    <s v="Yes"/>
    <s v="No"/>
    <x v="1"/>
    <x v="1"/>
    <n v="2025"/>
    <s v="Jun"/>
    <s v="21-25"/>
    <s v="60K-90K"/>
  </r>
  <r>
    <s v="E0238"/>
    <x v="0"/>
    <x v="8"/>
    <x v="3"/>
    <x v="21"/>
    <s v="Junior"/>
    <n v="31928"/>
    <x v="229"/>
    <s v="MBA"/>
    <x v="4"/>
    <s v="Married"/>
    <n v="0"/>
    <n v="4"/>
    <n v="5"/>
    <s v="Good"/>
    <s v="Yes"/>
    <n v="247"/>
    <n v="67"/>
    <n v="7"/>
    <s v="No"/>
    <s v="Yes"/>
    <x v="1"/>
    <x v="1"/>
    <n v="2026"/>
    <s v="Jul"/>
    <s v="31-35"/>
    <s v="&lt;40K"/>
  </r>
  <r>
    <s v="E0239"/>
    <x v="1"/>
    <x v="16"/>
    <x v="1"/>
    <x v="14"/>
    <s v="Junior"/>
    <n v="41866"/>
    <x v="230"/>
    <s v="Bachelor's"/>
    <x v="6"/>
    <s v="Married"/>
    <n v="3"/>
    <n v="1"/>
    <n v="5"/>
    <s v="Low"/>
    <s v="No"/>
    <n v="200"/>
    <n v="6"/>
    <n v="23"/>
    <s v="Yes"/>
    <s v="No"/>
    <x v="1"/>
    <x v="2"/>
    <n v="2025"/>
    <s v="Jan"/>
    <s v="26-30"/>
    <s v="40K-60K"/>
  </r>
  <r>
    <s v="E0240"/>
    <x v="0"/>
    <x v="6"/>
    <x v="3"/>
    <x v="3"/>
    <s v="Senior"/>
    <n v="77265"/>
    <x v="231"/>
    <s v="PhD"/>
    <x v="7"/>
    <s v="Single"/>
    <n v="13"/>
    <n v="2"/>
    <n v="3"/>
    <s v="Excellent"/>
    <s v="No"/>
    <n v="228"/>
    <n v="52"/>
    <n v="13"/>
    <s v="No"/>
    <s v="No"/>
    <x v="1"/>
    <x v="1"/>
    <n v="2021"/>
    <s v="Dec"/>
    <s v="36-40"/>
    <s v="60K-90K"/>
  </r>
  <r>
    <s v="E0241"/>
    <x v="1"/>
    <x v="19"/>
    <x v="6"/>
    <x v="26"/>
    <s v="Mid-Level"/>
    <n v="68679"/>
    <x v="232"/>
    <s v="Master's"/>
    <x v="6"/>
    <s v="Single"/>
    <n v="2"/>
    <n v="2"/>
    <n v="5"/>
    <s v="Average"/>
    <s v="No"/>
    <n v="259"/>
    <n v="58"/>
    <n v="17"/>
    <s v="Yes"/>
    <s v="No"/>
    <x v="1"/>
    <x v="1"/>
    <n v="2022"/>
    <s v="Jan"/>
    <s v="26-30"/>
    <s v="60K-90K"/>
  </r>
  <r>
    <s v="E0242"/>
    <x v="1"/>
    <x v="1"/>
    <x v="5"/>
    <x v="6"/>
    <s v="Junior"/>
    <n v="41054"/>
    <x v="233"/>
    <s v="MBA"/>
    <x v="2"/>
    <s v="Married"/>
    <n v="0"/>
    <n v="1"/>
    <n v="2"/>
    <s v="Good"/>
    <s v="No"/>
    <n v="210"/>
    <n v="76"/>
    <n v="19"/>
    <s v="No"/>
    <s v="Yes"/>
    <x v="1"/>
    <x v="1"/>
    <n v="2020"/>
    <s v="Oct"/>
    <s v="31-35"/>
    <s v="40K-60K"/>
  </r>
  <r>
    <s v="E0243"/>
    <x v="0"/>
    <x v="0"/>
    <x v="4"/>
    <x v="27"/>
    <s v="Senior"/>
    <n v="109537"/>
    <x v="234"/>
    <s v="MBA"/>
    <x v="4"/>
    <s v="Married"/>
    <n v="14"/>
    <n v="5"/>
    <n v="5"/>
    <s v="Excellent"/>
    <s v="No"/>
    <n v="233"/>
    <n v="62"/>
    <n v="30"/>
    <s v="Yes"/>
    <s v="No"/>
    <x v="1"/>
    <x v="2"/>
    <n v="2021"/>
    <s v="Mar"/>
    <s v="31-35"/>
    <s v="90K-130K"/>
  </r>
  <r>
    <s v="E0244"/>
    <x v="1"/>
    <x v="21"/>
    <x v="7"/>
    <x v="8"/>
    <s v="Mid-Level"/>
    <n v="62990"/>
    <x v="235"/>
    <s v="MBA"/>
    <x v="0"/>
    <s v="Married"/>
    <n v="4"/>
    <n v="5"/>
    <n v="5"/>
    <s v="Good"/>
    <s v="No"/>
    <n v="258"/>
    <n v="42"/>
    <n v="24"/>
    <s v="No"/>
    <s v="Yes"/>
    <x v="0"/>
    <x v="0"/>
    <n v="2023"/>
    <s v="Sep"/>
    <s v="36-40"/>
    <s v="60K-90K"/>
  </r>
  <r>
    <s v="E0245"/>
    <x v="1"/>
    <x v="15"/>
    <x v="5"/>
    <x v="25"/>
    <s v="Senior"/>
    <n v="103464"/>
    <x v="236"/>
    <s v="Master's"/>
    <x v="2"/>
    <s v="Divorced"/>
    <n v="13"/>
    <n v="4"/>
    <n v="2"/>
    <s v="Low"/>
    <s v="Yes"/>
    <n v="259"/>
    <n v="31"/>
    <n v="7"/>
    <s v="No"/>
    <s v="Yes"/>
    <x v="0"/>
    <x v="0"/>
    <n v="2024"/>
    <s v="Jan"/>
    <s v="21-25"/>
    <s v="90K-130K"/>
  </r>
  <r>
    <s v="E0246"/>
    <x v="0"/>
    <x v="17"/>
    <x v="2"/>
    <x v="23"/>
    <s v="Manager"/>
    <n v="97055"/>
    <x v="237"/>
    <s v="PhD"/>
    <x v="2"/>
    <s v="Single"/>
    <n v="8"/>
    <n v="5"/>
    <n v="1"/>
    <s v="Average"/>
    <s v="Yes"/>
    <n v="183"/>
    <n v="41"/>
    <n v="16"/>
    <s v="No"/>
    <s v="No"/>
    <x v="0"/>
    <x v="0"/>
    <n v="2023"/>
    <s v="Jun"/>
    <s v="26-30"/>
    <s v="90K-130K"/>
  </r>
  <r>
    <s v="E0247"/>
    <x v="0"/>
    <x v="7"/>
    <x v="6"/>
    <x v="26"/>
    <s v="Junior"/>
    <n v="29151"/>
    <x v="238"/>
    <s v="Diploma"/>
    <x v="3"/>
    <s v="Divorced"/>
    <n v="2"/>
    <n v="4"/>
    <n v="4"/>
    <s v="Excellent"/>
    <s v="No"/>
    <n v="184"/>
    <n v="77"/>
    <n v="15"/>
    <s v="No"/>
    <s v="No"/>
    <x v="1"/>
    <x v="1"/>
    <n v="2022"/>
    <s v="Aug"/>
    <s v="26-30"/>
    <s v="&lt;40K"/>
  </r>
  <r>
    <s v="E0248"/>
    <x v="1"/>
    <x v="16"/>
    <x v="7"/>
    <x v="8"/>
    <s v="Junior"/>
    <n v="42478"/>
    <x v="53"/>
    <s v="Master's"/>
    <x v="4"/>
    <s v="Married"/>
    <n v="2"/>
    <n v="4"/>
    <n v="3"/>
    <s v="Excellent"/>
    <s v="Yes"/>
    <n v="188"/>
    <n v="73"/>
    <n v="2"/>
    <s v="No"/>
    <s v="Yes"/>
    <x v="0"/>
    <x v="0"/>
    <n v="2023"/>
    <s v="Feb"/>
    <s v="26-30"/>
    <s v="40K-60K"/>
  </r>
  <r>
    <s v="E0249"/>
    <x v="1"/>
    <x v="18"/>
    <x v="7"/>
    <x v="20"/>
    <s v="Junior"/>
    <n v="42104"/>
    <x v="126"/>
    <s v="Diploma"/>
    <x v="7"/>
    <s v="Married"/>
    <n v="2"/>
    <n v="2"/>
    <n v="1"/>
    <s v="Average"/>
    <s v="No"/>
    <n v="197"/>
    <n v="25"/>
    <n v="24"/>
    <s v="No"/>
    <s v="No"/>
    <x v="1"/>
    <x v="2"/>
    <n v="2025"/>
    <s v="Sep"/>
    <s v="41-50"/>
    <s v="40K-60K"/>
  </r>
  <r>
    <s v="E0250"/>
    <x v="1"/>
    <x v="11"/>
    <x v="1"/>
    <x v="11"/>
    <s v="Junior"/>
    <n v="41835"/>
    <x v="239"/>
    <s v="Bachelor's"/>
    <x v="3"/>
    <s v="Single"/>
    <n v="1"/>
    <n v="5"/>
    <n v="3"/>
    <s v="Good"/>
    <s v="No"/>
    <n v="233"/>
    <n v="19"/>
    <n v="22"/>
    <s v="No"/>
    <s v="No"/>
    <x v="1"/>
    <x v="2"/>
    <n v="2024"/>
    <s v="Oct"/>
    <s v="31-35"/>
    <s v="40K-60K"/>
  </r>
  <r>
    <s v="E0251"/>
    <x v="1"/>
    <x v="15"/>
    <x v="7"/>
    <x v="8"/>
    <s v="Senior"/>
    <n v="66271"/>
    <x v="240"/>
    <s v="PhD"/>
    <x v="5"/>
    <s v="Single"/>
    <n v="7"/>
    <n v="5"/>
    <n v="1"/>
    <s v="Low"/>
    <s v="Yes"/>
    <n v="163"/>
    <n v="24"/>
    <n v="2"/>
    <s v="No"/>
    <s v="No"/>
    <x v="1"/>
    <x v="1"/>
    <n v="2019"/>
    <s v="Jul"/>
    <s v="21-25"/>
    <s v="60K-90K"/>
  </r>
  <r>
    <s v="E0252"/>
    <x v="1"/>
    <x v="21"/>
    <x v="4"/>
    <x v="5"/>
    <s v="Manager"/>
    <n v="138679"/>
    <x v="241"/>
    <s v="Bachelor's"/>
    <x v="6"/>
    <s v="Single"/>
    <n v="15"/>
    <n v="3"/>
    <n v="1"/>
    <s v="Average"/>
    <s v="Yes"/>
    <n v="157"/>
    <n v="37"/>
    <n v="28"/>
    <s v="No"/>
    <s v="No"/>
    <x v="1"/>
    <x v="1"/>
    <n v="2019"/>
    <s v="May"/>
    <s v="36-40"/>
    <s v="130K+"/>
  </r>
  <r>
    <s v="E0253"/>
    <x v="0"/>
    <x v="30"/>
    <x v="1"/>
    <x v="1"/>
    <s v="Manager"/>
    <n v="122396"/>
    <x v="242"/>
    <s v="Master's"/>
    <x v="6"/>
    <s v="Married"/>
    <n v="19"/>
    <n v="2"/>
    <n v="4"/>
    <s v="Good"/>
    <s v="No"/>
    <n v="248"/>
    <n v="46"/>
    <n v="7"/>
    <s v="No"/>
    <s v="Yes"/>
    <x v="1"/>
    <x v="1"/>
    <n v="2019"/>
    <s v="May"/>
    <s v="41-50"/>
    <s v="90K-130K"/>
  </r>
  <r>
    <s v="E0254"/>
    <x v="0"/>
    <x v="20"/>
    <x v="5"/>
    <x v="25"/>
    <s v="Senior"/>
    <n v="78023"/>
    <x v="243"/>
    <s v="Master's"/>
    <x v="2"/>
    <s v="Divorced"/>
    <n v="10"/>
    <n v="2"/>
    <n v="1"/>
    <s v="Low"/>
    <s v="Yes"/>
    <n v="231"/>
    <n v="55"/>
    <n v="27"/>
    <s v="Yes"/>
    <s v="No"/>
    <x v="0"/>
    <x v="0"/>
    <n v="2019"/>
    <s v="Aug"/>
    <s v="36-40"/>
    <s v="60K-90K"/>
  </r>
  <r>
    <s v="E0255"/>
    <x v="0"/>
    <x v="9"/>
    <x v="0"/>
    <x v="16"/>
    <s v="Mid-Level"/>
    <n v="54169"/>
    <x v="244"/>
    <s v="Bachelor's"/>
    <x v="5"/>
    <s v="Married"/>
    <n v="2"/>
    <n v="2"/>
    <n v="4"/>
    <s v="Average"/>
    <s v="Yes"/>
    <n v="237"/>
    <n v="73"/>
    <n v="27"/>
    <s v="Yes"/>
    <s v="No"/>
    <x v="1"/>
    <x v="1"/>
    <n v="2021"/>
    <s v="Oct"/>
    <s v="21-25"/>
    <s v="40K-60K"/>
  </r>
  <r>
    <s v="E0256"/>
    <x v="1"/>
    <x v="7"/>
    <x v="1"/>
    <x v="11"/>
    <s v="Senior"/>
    <n v="93751"/>
    <x v="245"/>
    <s v="PhD"/>
    <x v="6"/>
    <s v="Divorced"/>
    <n v="8"/>
    <n v="4"/>
    <n v="3"/>
    <s v="Good"/>
    <s v="No"/>
    <n v="167"/>
    <n v="74"/>
    <n v="24"/>
    <s v="No"/>
    <s v="No"/>
    <x v="1"/>
    <x v="1"/>
    <n v="2019"/>
    <s v="Mar"/>
    <s v="26-30"/>
    <s v="90K-130K"/>
  </r>
  <r>
    <s v="E0257"/>
    <x v="0"/>
    <x v="26"/>
    <x v="3"/>
    <x v="3"/>
    <s v="Manager"/>
    <n v="126087"/>
    <x v="246"/>
    <s v="MBA"/>
    <x v="4"/>
    <s v="Married"/>
    <n v="17"/>
    <n v="2"/>
    <n v="1"/>
    <s v="Low"/>
    <s v="No"/>
    <n v="169"/>
    <n v="69"/>
    <n v="14"/>
    <s v="No"/>
    <s v="No"/>
    <x v="1"/>
    <x v="1"/>
    <n v="2025"/>
    <s v="Mar"/>
    <s v="36-40"/>
    <s v="90K-130K"/>
  </r>
  <r>
    <s v="E0258"/>
    <x v="0"/>
    <x v="16"/>
    <x v="3"/>
    <x v="21"/>
    <s v="Senior"/>
    <n v="69151"/>
    <x v="247"/>
    <s v="MBA"/>
    <x v="7"/>
    <s v="Divorced"/>
    <n v="13"/>
    <n v="2"/>
    <n v="5"/>
    <s v="Good"/>
    <s v="No"/>
    <n v="213"/>
    <n v="19"/>
    <n v="5"/>
    <s v="No"/>
    <s v="No"/>
    <x v="1"/>
    <x v="1"/>
    <n v="2023"/>
    <s v="May"/>
    <s v="26-30"/>
    <s v="60K-90K"/>
  </r>
  <r>
    <s v="E0259"/>
    <x v="0"/>
    <x v="0"/>
    <x v="6"/>
    <x v="26"/>
    <s v="Junior"/>
    <n v="34621"/>
    <x v="248"/>
    <s v="Diploma"/>
    <x v="2"/>
    <s v="Single"/>
    <n v="0"/>
    <n v="2"/>
    <n v="1"/>
    <s v="Good"/>
    <s v="Yes"/>
    <n v="223"/>
    <n v="33"/>
    <n v="21"/>
    <s v="No"/>
    <s v="No"/>
    <x v="1"/>
    <x v="1"/>
    <n v="2024"/>
    <s v="Jun"/>
    <s v="31-35"/>
    <s v="&lt;40K"/>
  </r>
  <r>
    <s v="E0260"/>
    <x v="0"/>
    <x v="6"/>
    <x v="1"/>
    <x v="1"/>
    <s v="Junior"/>
    <n v="43337"/>
    <x v="249"/>
    <s v="MBA"/>
    <x v="5"/>
    <s v="Divorced"/>
    <n v="0"/>
    <n v="5"/>
    <n v="4"/>
    <s v="Low"/>
    <s v="No"/>
    <n v="251"/>
    <n v="43"/>
    <n v="4"/>
    <s v="Yes"/>
    <s v="Yes"/>
    <x v="1"/>
    <x v="1"/>
    <n v="2023"/>
    <s v="Jan"/>
    <s v="36-40"/>
    <s v="40K-60K"/>
  </r>
  <r>
    <s v="E0261"/>
    <x v="0"/>
    <x v="12"/>
    <x v="1"/>
    <x v="1"/>
    <s v="Mid-Level"/>
    <n v="48328"/>
    <x v="250"/>
    <s v="Diploma"/>
    <x v="4"/>
    <s v="Divorced"/>
    <n v="6"/>
    <n v="2"/>
    <n v="5"/>
    <s v="Excellent"/>
    <s v="No"/>
    <n v="172"/>
    <n v="59"/>
    <n v="30"/>
    <s v="Yes"/>
    <s v="No"/>
    <x v="1"/>
    <x v="1"/>
    <n v="2026"/>
    <s v="May"/>
    <s v="21-25"/>
    <s v="40K-60K"/>
  </r>
  <r>
    <s v="E0262"/>
    <x v="0"/>
    <x v="1"/>
    <x v="4"/>
    <x v="5"/>
    <s v="Mid-Level"/>
    <n v="59494"/>
    <x v="175"/>
    <s v="PhD"/>
    <x v="4"/>
    <s v="Divorced"/>
    <n v="6"/>
    <n v="3"/>
    <n v="3"/>
    <s v="Average"/>
    <s v="No"/>
    <n v="191"/>
    <n v="77"/>
    <n v="19"/>
    <s v="Yes"/>
    <s v="No"/>
    <x v="1"/>
    <x v="2"/>
    <n v="2023"/>
    <s v="Dec"/>
    <s v="31-35"/>
    <s v="40K-60K"/>
  </r>
  <r>
    <s v="E0263"/>
    <x v="1"/>
    <x v="9"/>
    <x v="3"/>
    <x v="4"/>
    <s v="Manager"/>
    <n v="142047"/>
    <x v="251"/>
    <s v="MBA"/>
    <x v="5"/>
    <s v="Married"/>
    <n v="8"/>
    <n v="3"/>
    <n v="5"/>
    <s v="Average"/>
    <s v="Yes"/>
    <n v="216"/>
    <n v="32"/>
    <n v="29"/>
    <s v="No"/>
    <s v="No"/>
    <x v="1"/>
    <x v="1"/>
    <n v="2019"/>
    <s v="May"/>
    <s v="21-25"/>
    <s v="130K+"/>
  </r>
  <r>
    <s v="E0264"/>
    <x v="1"/>
    <x v="10"/>
    <x v="6"/>
    <x v="7"/>
    <s v="Junior"/>
    <n v="43085"/>
    <x v="252"/>
    <s v="MBA"/>
    <x v="1"/>
    <s v="Divorced"/>
    <n v="2"/>
    <n v="2"/>
    <n v="3"/>
    <s v="Excellent"/>
    <s v="No"/>
    <n v="224"/>
    <n v="77"/>
    <n v="8"/>
    <s v="No"/>
    <s v="No"/>
    <x v="1"/>
    <x v="1"/>
    <n v="2020"/>
    <s v="Oct"/>
    <s v="21-25"/>
    <s v="40K-60K"/>
  </r>
  <r>
    <s v="E0265"/>
    <x v="1"/>
    <x v="4"/>
    <x v="7"/>
    <x v="8"/>
    <s v="Manager"/>
    <n v="102499"/>
    <x v="253"/>
    <s v="Bachelor's"/>
    <x v="4"/>
    <s v="Married"/>
    <n v="17"/>
    <n v="3"/>
    <n v="1"/>
    <s v="Excellent"/>
    <s v="No"/>
    <n v="253"/>
    <n v="58"/>
    <n v="29"/>
    <s v="Yes"/>
    <s v="No"/>
    <x v="0"/>
    <x v="0"/>
    <n v="2026"/>
    <s v="Mar"/>
    <s v="26-30"/>
    <s v="90K-130K"/>
  </r>
  <r>
    <s v="E0266"/>
    <x v="0"/>
    <x v="15"/>
    <x v="0"/>
    <x v="16"/>
    <s v="Junior"/>
    <n v="37987"/>
    <x v="254"/>
    <s v="PhD"/>
    <x v="6"/>
    <s v="Divorced"/>
    <n v="0"/>
    <n v="5"/>
    <n v="5"/>
    <s v="Low"/>
    <s v="Yes"/>
    <n v="191"/>
    <n v="33"/>
    <n v="15"/>
    <s v="No"/>
    <s v="No"/>
    <x v="1"/>
    <x v="2"/>
    <n v="2022"/>
    <s v="Jul"/>
    <s v="21-25"/>
    <s v="&lt;40K"/>
  </r>
  <r>
    <s v="E0267"/>
    <x v="0"/>
    <x v="5"/>
    <x v="6"/>
    <x v="22"/>
    <s v="Junior"/>
    <n v="43592"/>
    <x v="255"/>
    <s v="Master's"/>
    <x v="3"/>
    <s v="Married"/>
    <n v="0"/>
    <n v="4"/>
    <n v="3"/>
    <s v="Average"/>
    <s v="Yes"/>
    <n v="201"/>
    <n v="67"/>
    <n v="14"/>
    <s v="No"/>
    <s v="No"/>
    <x v="1"/>
    <x v="1"/>
    <n v="2025"/>
    <s v="Feb"/>
    <s v="41-50"/>
    <s v="40K-60K"/>
  </r>
  <r>
    <s v="E0268"/>
    <x v="0"/>
    <x v="9"/>
    <x v="1"/>
    <x v="31"/>
    <s v="Senior"/>
    <n v="93184"/>
    <x v="256"/>
    <s v="Master's"/>
    <x v="4"/>
    <s v="Married"/>
    <n v="10"/>
    <n v="1"/>
    <n v="1"/>
    <s v="Low"/>
    <s v="No"/>
    <n v="202"/>
    <n v="44"/>
    <n v="7"/>
    <s v="No"/>
    <s v="No"/>
    <x v="1"/>
    <x v="2"/>
    <n v="2025"/>
    <s v="Jun"/>
    <s v="21-25"/>
    <s v="90K-130K"/>
  </r>
  <r>
    <s v="E0269"/>
    <x v="0"/>
    <x v="7"/>
    <x v="7"/>
    <x v="29"/>
    <s v="Mid-Level"/>
    <n v="48543"/>
    <x v="257"/>
    <s v="Diploma"/>
    <x v="3"/>
    <s v="Married"/>
    <n v="7"/>
    <n v="2"/>
    <n v="1"/>
    <s v="Low"/>
    <s v="Yes"/>
    <n v="244"/>
    <n v="48"/>
    <n v="24"/>
    <s v="Yes"/>
    <s v="Yes"/>
    <x v="0"/>
    <x v="0"/>
    <n v="2023"/>
    <s v="Mar"/>
    <s v="26-30"/>
    <s v="40K-60K"/>
  </r>
  <r>
    <s v="E0270"/>
    <x v="1"/>
    <x v="14"/>
    <x v="7"/>
    <x v="17"/>
    <s v="Junior"/>
    <n v="38874"/>
    <x v="258"/>
    <s v="Diploma"/>
    <x v="3"/>
    <s v="Divorced"/>
    <n v="1"/>
    <n v="2"/>
    <n v="2"/>
    <s v="Low"/>
    <s v="No"/>
    <n v="216"/>
    <n v="53"/>
    <n v="20"/>
    <s v="No"/>
    <s v="No"/>
    <x v="1"/>
    <x v="1"/>
    <n v="2025"/>
    <s v="Jan"/>
    <s v="31-35"/>
    <s v="&lt;40K"/>
  </r>
  <r>
    <s v="E0271"/>
    <x v="1"/>
    <x v="3"/>
    <x v="6"/>
    <x v="7"/>
    <s v="Senior"/>
    <n v="78152"/>
    <x v="259"/>
    <s v="MBA"/>
    <x v="4"/>
    <s v="Single"/>
    <n v="14"/>
    <n v="1"/>
    <n v="4"/>
    <s v="Low"/>
    <s v="No"/>
    <n v="151"/>
    <n v="42"/>
    <n v="29"/>
    <s v="No"/>
    <s v="Yes"/>
    <x v="1"/>
    <x v="2"/>
    <n v="2022"/>
    <s v="Jan"/>
    <s v="41-50"/>
    <s v="60K-90K"/>
  </r>
  <r>
    <s v="E0272"/>
    <x v="0"/>
    <x v="9"/>
    <x v="4"/>
    <x v="27"/>
    <s v="Senior"/>
    <n v="96762"/>
    <x v="260"/>
    <s v="Bachelor's"/>
    <x v="5"/>
    <s v="Single"/>
    <n v="14"/>
    <n v="1"/>
    <n v="2"/>
    <s v="Good"/>
    <s v="Yes"/>
    <n v="214"/>
    <n v="47"/>
    <n v="17"/>
    <s v="No"/>
    <s v="No"/>
    <x v="1"/>
    <x v="1"/>
    <n v="2024"/>
    <s v="Dec"/>
    <s v="21-25"/>
    <s v="90K-130K"/>
  </r>
  <r>
    <s v="E0273"/>
    <x v="0"/>
    <x v="26"/>
    <x v="3"/>
    <x v="3"/>
    <s v="Senior"/>
    <n v="105975"/>
    <x v="261"/>
    <s v="Bachelor's"/>
    <x v="2"/>
    <s v="Single"/>
    <n v="9"/>
    <n v="5"/>
    <n v="3"/>
    <s v="Average"/>
    <s v="Yes"/>
    <n v="230"/>
    <n v="48"/>
    <n v="30"/>
    <s v="No"/>
    <s v="No"/>
    <x v="1"/>
    <x v="1"/>
    <n v="2021"/>
    <s v="Aug"/>
    <s v="36-40"/>
    <s v="90K-130K"/>
  </r>
  <r>
    <s v="E0274"/>
    <x v="0"/>
    <x v="14"/>
    <x v="4"/>
    <x v="19"/>
    <s v="Manager"/>
    <n v="121504"/>
    <x v="262"/>
    <s v="Master's"/>
    <x v="3"/>
    <s v="Divorced"/>
    <n v="17"/>
    <n v="4"/>
    <n v="3"/>
    <s v="Average"/>
    <s v="No"/>
    <n v="192"/>
    <n v="22"/>
    <n v="11"/>
    <s v="No"/>
    <s v="No"/>
    <x v="1"/>
    <x v="1"/>
    <n v="2020"/>
    <s v="Sep"/>
    <s v="31-35"/>
    <s v="90K-130K"/>
  </r>
  <r>
    <s v="E0275"/>
    <x v="1"/>
    <x v="12"/>
    <x v="6"/>
    <x v="26"/>
    <s v="Senior"/>
    <n v="69444"/>
    <x v="263"/>
    <s v="MBA"/>
    <x v="7"/>
    <s v="Married"/>
    <n v="13"/>
    <n v="1"/>
    <n v="2"/>
    <s v="Good"/>
    <s v="No"/>
    <n v="257"/>
    <n v="61"/>
    <n v="25"/>
    <s v="No"/>
    <s v="No"/>
    <x v="1"/>
    <x v="1"/>
    <n v="2024"/>
    <s v="Dec"/>
    <s v="21-25"/>
    <s v="60K-90K"/>
  </r>
  <r>
    <s v="E0276"/>
    <x v="0"/>
    <x v="0"/>
    <x v="1"/>
    <x v="31"/>
    <s v="Mid-Level"/>
    <n v="48053"/>
    <x v="264"/>
    <s v="Master's"/>
    <x v="5"/>
    <s v="Married"/>
    <n v="2"/>
    <n v="5"/>
    <n v="3"/>
    <s v="Low"/>
    <s v="No"/>
    <n v="222"/>
    <n v="66"/>
    <n v="6"/>
    <s v="No"/>
    <s v="No"/>
    <x v="1"/>
    <x v="2"/>
    <n v="2025"/>
    <s v="Nov"/>
    <s v="31-35"/>
    <s v="40K-60K"/>
  </r>
  <r>
    <s v="E0277"/>
    <x v="1"/>
    <x v="8"/>
    <x v="6"/>
    <x v="24"/>
    <s v="Manager"/>
    <n v="152108"/>
    <x v="265"/>
    <s v="PhD"/>
    <x v="0"/>
    <s v="Divorced"/>
    <n v="10"/>
    <n v="2"/>
    <n v="2"/>
    <s v="Average"/>
    <s v="Yes"/>
    <n v="202"/>
    <n v="31"/>
    <n v="4"/>
    <s v="Yes"/>
    <s v="Yes"/>
    <x v="1"/>
    <x v="2"/>
    <n v="2020"/>
    <s v="Nov"/>
    <s v="31-35"/>
    <s v="130K+"/>
  </r>
  <r>
    <s v="E0278"/>
    <x v="1"/>
    <x v="16"/>
    <x v="3"/>
    <x v="4"/>
    <s v="Mid-Level"/>
    <n v="56010"/>
    <x v="266"/>
    <s v="Diploma"/>
    <x v="5"/>
    <s v="Divorced"/>
    <n v="5"/>
    <n v="5"/>
    <n v="4"/>
    <s v="Low"/>
    <s v="No"/>
    <n v="190"/>
    <n v="62"/>
    <n v="16"/>
    <s v="Yes"/>
    <s v="No"/>
    <x v="1"/>
    <x v="1"/>
    <n v="2019"/>
    <s v="Jun"/>
    <s v="26-30"/>
    <s v="40K-60K"/>
  </r>
  <r>
    <s v="E0279"/>
    <x v="1"/>
    <x v="14"/>
    <x v="0"/>
    <x v="16"/>
    <s v="Junior"/>
    <n v="34221"/>
    <x v="267"/>
    <s v="Diploma"/>
    <x v="5"/>
    <s v="Divorced"/>
    <n v="2"/>
    <n v="4"/>
    <n v="3"/>
    <s v="Average"/>
    <s v="No"/>
    <n v="209"/>
    <n v="64"/>
    <n v="28"/>
    <s v="No"/>
    <s v="No"/>
    <x v="1"/>
    <x v="2"/>
    <n v="2023"/>
    <s v="Dec"/>
    <s v="31-35"/>
    <s v="&lt;40K"/>
  </r>
  <r>
    <s v="E0280"/>
    <x v="0"/>
    <x v="17"/>
    <x v="2"/>
    <x v="12"/>
    <s v="Mid-Level"/>
    <n v="54880"/>
    <x v="268"/>
    <s v="Bachelor's"/>
    <x v="2"/>
    <s v="Married"/>
    <n v="5"/>
    <n v="4"/>
    <n v="1"/>
    <s v="Average"/>
    <s v="Yes"/>
    <n v="208"/>
    <n v="20"/>
    <n v="4"/>
    <s v="Yes"/>
    <s v="No"/>
    <x v="1"/>
    <x v="2"/>
    <n v="2022"/>
    <s v="Aug"/>
    <s v="26-30"/>
    <s v="40K-60K"/>
  </r>
  <r>
    <s v="E0281"/>
    <x v="1"/>
    <x v="14"/>
    <x v="2"/>
    <x v="2"/>
    <s v="Mid-Level"/>
    <n v="54408"/>
    <x v="269"/>
    <s v="Master's"/>
    <x v="3"/>
    <s v="Divorced"/>
    <n v="6"/>
    <n v="1"/>
    <n v="2"/>
    <s v="Low"/>
    <s v="No"/>
    <n v="222"/>
    <n v="58"/>
    <n v="11"/>
    <s v="No"/>
    <s v="No"/>
    <x v="0"/>
    <x v="0"/>
    <n v="2023"/>
    <s v="Apr"/>
    <s v="31-35"/>
    <s v="40K-60K"/>
  </r>
  <r>
    <s v="E0282"/>
    <x v="1"/>
    <x v="2"/>
    <x v="5"/>
    <x v="13"/>
    <s v="Junior"/>
    <n v="32311"/>
    <x v="270"/>
    <s v="Diploma"/>
    <x v="5"/>
    <s v="Divorced"/>
    <n v="1"/>
    <n v="5"/>
    <n v="3"/>
    <s v="Excellent"/>
    <s v="Yes"/>
    <n v="208"/>
    <n v="35"/>
    <n v="8"/>
    <s v="No"/>
    <s v="No"/>
    <x v="1"/>
    <x v="2"/>
    <n v="2019"/>
    <s v="Jan"/>
    <s v="36-40"/>
    <s v="&lt;40K"/>
  </r>
  <r>
    <s v="E0283"/>
    <x v="1"/>
    <x v="5"/>
    <x v="4"/>
    <x v="18"/>
    <s v="Junior"/>
    <n v="28215"/>
    <x v="271"/>
    <s v="Master's"/>
    <x v="5"/>
    <s v="Divorced"/>
    <n v="1"/>
    <n v="3"/>
    <n v="5"/>
    <s v="Good"/>
    <s v="No"/>
    <n v="221"/>
    <n v="9"/>
    <n v="6"/>
    <s v="Yes"/>
    <s v="No"/>
    <x v="0"/>
    <x v="0"/>
    <n v="2025"/>
    <s v="Feb"/>
    <s v="41-50"/>
    <s v="&lt;40K"/>
  </r>
  <r>
    <s v="E0284"/>
    <x v="1"/>
    <x v="15"/>
    <x v="3"/>
    <x v="15"/>
    <s v="Junior"/>
    <n v="31568"/>
    <x v="272"/>
    <s v="Diploma"/>
    <x v="4"/>
    <s v="Single"/>
    <n v="3"/>
    <n v="2"/>
    <n v="3"/>
    <s v="Low"/>
    <s v="No"/>
    <n v="234"/>
    <n v="43"/>
    <n v="12"/>
    <s v="No"/>
    <s v="No"/>
    <x v="1"/>
    <x v="2"/>
    <n v="2020"/>
    <s v="Dec"/>
    <s v="21-25"/>
    <s v="&lt;40K"/>
  </r>
  <r>
    <s v="E0285"/>
    <x v="0"/>
    <x v="30"/>
    <x v="4"/>
    <x v="27"/>
    <s v="Senior"/>
    <n v="95855"/>
    <x v="273"/>
    <s v="Diploma"/>
    <x v="5"/>
    <s v="Single"/>
    <n v="7"/>
    <n v="3"/>
    <n v="3"/>
    <s v="Low"/>
    <s v="No"/>
    <n v="202"/>
    <n v="66"/>
    <n v="25"/>
    <s v="No"/>
    <s v="No"/>
    <x v="1"/>
    <x v="1"/>
    <n v="2020"/>
    <s v="May"/>
    <s v="41-50"/>
    <s v="90K-130K"/>
  </r>
  <r>
    <s v="E0286"/>
    <x v="1"/>
    <x v="9"/>
    <x v="3"/>
    <x v="3"/>
    <s v="Senior"/>
    <n v="73500"/>
    <x v="274"/>
    <s v="Master's"/>
    <x v="0"/>
    <s v="Divorced"/>
    <n v="14"/>
    <n v="4"/>
    <n v="5"/>
    <s v="Good"/>
    <s v="No"/>
    <n v="230"/>
    <n v="29"/>
    <n v="2"/>
    <s v="Yes"/>
    <s v="No"/>
    <x v="1"/>
    <x v="1"/>
    <n v="2025"/>
    <s v="Apr"/>
    <s v="21-25"/>
    <s v="60K-90K"/>
  </r>
  <r>
    <s v="E0287"/>
    <x v="1"/>
    <x v="4"/>
    <x v="2"/>
    <x v="12"/>
    <s v="Manager"/>
    <n v="144269"/>
    <x v="275"/>
    <s v="MBA"/>
    <x v="2"/>
    <s v="Single"/>
    <n v="8"/>
    <n v="3"/>
    <n v="5"/>
    <s v="Good"/>
    <s v="No"/>
    <n v="177"/>
    <n v="43"/>
    <n v="18"/>
    <s v="No"/>
    <s v="Yes"/>
    <x v="1"/>
    <x v="1"/>
    <n v="2022"/>
    <s v="Sep"/>
    <s v="26-30"/>
    <s v="130K+"/>
  </r>
  <r>
    <s v="E0288"/>
    <x v="0"/>
    <x v="2"/>
    <x v="2"/>
    <x v="30"/>
    <s v="Senior"/>
    <n v="90955"/>
    <x v="276"/>
    <s v="PhD"/>
    <x v="6"/>
    <s v="Single"/>
    <n v="14"/>
    <n v="1"/>
    <n v="2"/>
    <s v="Average"/>
    <s v="Yes"/>
    <n v="192"/>
    <n v="66"/>
    <n v="6"/>
    <s v="No"/>
    <s v="No"/>
    <x v="1"/>
    <x v="2"/>
    <n v="2025"/>
    <s v="Nov"/>
    <s v="36-40"/>
    <s v="90K-130K"/>
  </r>
  <r>
    <s v="E0289"/>
    <x v="1"/>
    <x v="8"/>
    <x v="7"/>
    <x v="17"/>
    <s v="Junior"/>
    <n v="37808"/>
    <x v="277"/>
    <s v="MBA"/>
    <x v="1"/>
    <s v="Single"/>
    <n v="2"/>
    <n v="5"/>
    <n v="1"/>
    <s v="Good"/>
    <s v="Yes"/>
    <n v="223"/>
    <n v="8"/>
    <n v="12"/>
    <s v="No"/>
    <s v="No"/>
    <x v="1"/>
    <x v="1"/>
    <n v="2025"/>
    <s v="Mar"/>
    <s v="31-35"/>
    <s v="&lt;40K"/>
  </r>
  <r>
    <s v="E0290"/>
    <x v="1"/>
    <x v="16"/>
    <x v="6"/>
    <x v="7"/>
    <s v="Senior"/>
    <n v="85611"/>
    <x v="278"/>
    <s v="MBA"/>
    <x v="0"/>
    <s v="Divorced"/>
    <n v="5"/>
    <n v="4"/>
    <n v="1"/>
    <s v="Good"/>
    <s v="No"/>
    <n v="180"/>
    <n v="27"/>
    <n v="5"/>
    <s v="No"/>
    <s v="No"/>
    <x v="1"/>
    <x v="1"/>
    <n v="2022"/>
    <s v="Jan"/>
    <s v="26-30"/>
    <s v="60K-90K"/>
  </r>
  <r>
    <s v="E0291"/>
    <x v="0"/>
    <x v="4"/>
    <x v="2"/>
    <x v="2"/>
    <s v="Junior"/>
    <n v="43815"/>
    <x v="279"/>
    <s v="Master's"/>
    <x v="1"/>
    <s v="Divorced"/>
    <n v="1"/>
    <n v="3"/>
    <n v="4"/>
    <s v="Average"/>
    <s v="No"/>
    <n v="217"/>
    <n v="31"/>
    <n v="25"/>
    <s v="Yes"/>
    <s v="No"/>
    <x v="1"/>
    <x v="2"/>
    <n v="2021"/>
    <s v="Feb"/>
    <s v="26-30"/>
    <s v="40K-60K"/>
  </r>
  <r>
    <s v="E0292"/>
    <x v="1"/>
    <x v="7"/>
    <x v="2"/>
    <x v="23"/>
    <s v="Senior"/>
    <n v="67885"/>
    <x v="280"/>
    <s v="MBA"/>
    <x v="0"/>
    <s v="Married"/>
    <n v="14"/>
    <n v="3"/>
    <n v="4"/>
    <s v="Average"/>
    <s v="Yes"/>
    <n v="163"/>
    <n v="29"/>
    <n v="11"/>
    <s v="No"/>
    <s v="No"/>
    <x v="0"/>
    <x v="0"/>
    <n v="2019"/>
    <s v="Dec"/>
    <s v="26-30"/>
    <s v="60K-90K"/>
  </r>
  <r>
    <s v="E0293"/>
    <x v="1"/>
    <x v="16"/>
    <x v="7"/>
    <x v="29"/>
    <s v="Senior"/>
    <n v="74785"/>
    <x v="281"/>
    <s v="MBA"/>
    <x v="4"/>
    <s v="Married"/>
    <n v="7"/>
    <n v="1"/>
    <n v="1"/>
    <s v="Average"/>
    <s v="No"/>
    <n v="221"/>
    <n v="41"/>
    <n v="20"/>
    <s v="Yes"/>
    <s v="Yes"/>
    <x v="1"/>
    <x v="1"/>
    <n v="2022"/>
    <s v="Jan"/>
    <s v="26-30"/>
    <s v="60K-90K"/>
  </r>
  <r>
    <s v="E0294"/>
    <x v="0"/>
    <x v="6"/>
    <x v="5"/>
    <x v="6"/>
    <s v="Manager"/>
    <n v="96648"/>
    <x v="282"/>
    <s v="PhD"/>
    <x v="3"/>
    <s v="Divorced"/>
    <n v="10"/>
    <n v="4"/>
    <n v="1"/>
    <s v="Excellent"/>
    <s v="Yes"/>
    <n v="199"/>
    <n v="50"/>
    <n v="11"/>
    <s v="No"/>
    <s v="Yes"/>
    <x v="0"/>
    <x v="0"/>
    <n v="2019"/>
    <s v="Apr"/>
    <s v="36-40"/>
    <s v="90K-130K"/>
  </r>
  <r>
    <s v="E0295"/>
    <x v="0"/>
    <x v="11"/>
    <x v="2"/>
    <x v="2"/>
    <s v="Mid-Level"/>
    <n v="45044"/>
    <x v="283"/>
    <s v="Master's"/>
    <x v="3"/>
    <s v="Divorced"/>
    <n v="7"/>
    <n v="1"/>
    <n v="4"/>
    <s v="Good"/>
    <s v="No"/>
    <n v="237"/>
    <n v="51"/>
    <n v="14"/>
    <s v="Yes"/>
    <s v="No"/>
    <x v="1"/>
    <x v="1"/>
    <n v="2024"/>
    <s v="Apr"/>
    <s v="31-35"/>
    <s v="40K-60K"/>
  </r>
  <r>
    <s v="E0296"/>
    <x v="1"/>
    <x v="16"/>
    <x v="7"/>
    <x v="17"/>
    <s v="Junior"/>
    <n v="30141"/>
    <x v="284"/>
    <s v="MBA"/>
    <x v="3"/>
    <s v="Divorced"/>
    <n v="3"/>
    <n v="3"/>
    <n v="4"/>
    <s v="Low"/>
    <s v="No"/>
    <n v="258"/>
    <n v="56"/>
    <n v="28"/>
    <s v="No"/>
    <s v="No"/>
    <x v="1"/>
    <x v="1"/>
    <n v="2020"/>
    <s v="Apr"/>
    <s v="26-30"/>
    <s v="&lt;40K"/>
  </r>
  <r>
    <s v="E0297"/>
    <x v="1"/>
    <x v="21"/>
    <x v="2"/>
    <x v="30"/>
    <s v="Manager"/>
    <n v="142535"/>
    <x v="285"/>
    <s v="PhD"/>
    <x v="1"/>
    <s v="Married"/>
    <n v="17"/>
    <n v="2"/>
    <n v="5"/>
    <s v="Average"/>
    <s v="Yes"/>
    <n v="220"/>
    <n v="80"/>
    <n v="15"/>
    <s v="No"/>
    <s v="No"/>
    <x v="1"/>
    <x v="1"/>
    <n v="2023"/>
    <s v="Aug"/>
    <s v="36-40"/>
    <s v="130K+"/>
  </r>
  <r>
    <s v="E0298"/>
    <x v="0"/>
    <x v="11"/>
    <x v="6"/>
    <x v="7"/>
    <s v="Manager"/>
    <n v="104984"/>
    <x v="286"/>
    <s v="PhD"/>
    <x v="1"/>
    <s v="Divorced"/>
    <n v="17"/>
    <n v="4"/>
    <n v="3"/>
    <s v="Low"/>
    <s v="No"/>
    <n v="162"/>
    <n v="53"/>
    <n v="12"/>
    <s v="No"/>
    <s v="No"/>
    <x v="1"/>
    <x v="1"/>
    <n v="2025"/>
    <s v="Sep"/>
    <s v="31-35"/>
    <s v="90K-130K"/>
  </r>
  <r>
    <s v="E0299"/>
    <x v="0"/>
    <x v="6"/>
    <x v="1"/>
    <x v="14"/>
    <s v="Junior"/>
    <n v="32807"/>
    <x v="287"/>
    <s v="MBA"/>
    <x v="2"/>
    <s v="Divorced"/>
    <n v="1"/>
    <n v="5"/>
    <n v="3"/>
    <s v="Good"/>
    <s v="No"/>
    <n v="228"/>
    <n v="60"/>
    <n v="24"/>
    <s v="No"/>
    <s v="No"/>
    <x v="1"/>
    <x v="1"/>
    <n v="2024"/>
    <s v="Jan"/>
    <s v="36-40"/>
    <s v="&lt;40K"/>
  </r>
  <r>
    <s v="E0300"/>
    <x v="0"/>
    <x v="2"/>
    <x v="4"/>
    <x v="19"/>
    <s v="Senior"/>
    <n v="69090"/>
    <x v="288"/>
    <s v="MBA"/>
    <x v="5"/>
    <s v="Single"/>
    <n v="10"/>
    <n v="1"/>
    <n v="1"/>
    <s v="Excellent"/>
    <s v="No"/>
    <n v="221"/>
    <n v="80"/>
    <n v="14"/>
    <s v="No"/>
    <s v="No"/>
    <x v="0"/>
    <x v="0"/>
    <n v="2025"/>
    <s v="Feb"/>
    <s v="36-40"/>
    <s v="60K-90K"/>
  </r>
  <r>
    <s v="E0301"/>
    <x v="1"/>
    <x v="19"/>
    <x v="4"/>
    <x v="18"/>
    <s v="Manager"/>
    <n v="147041"/>
    <x v="289"/>
    <s v="MBA"/>
    <x v="7"/>
    <s v="Single"/>
    <n v="16"/>
    <n v="2"/>
    <n v="4"/>
    <s v="Good"/>
    <s v="Yes"/>
    <n v="174"/>
    <n v="21"/>
    <n v="6"/>
    <s v="Yes"/>
    <s v="No"/>
    <x v="1"/>
    <x v="1"/>
    <n v="2021"/>
    <s v="May"/>
    <s v="26-30"/>
    <s v="130K+"/>
  </r>
  <r>
    <s v="E0302"/>
    <x v="0"/>
    <x v="7"/>
    <x v="6"/>
    <x v="24"/>
    <s v="Manager"/>
    <n v="107796"/>
    <x v="290"/>
    <s v="PhD"/>
    <x v="7"/>
    <s v="Divorced"/>
    <n v="9"/>
    <n v="4"/>
    <n v="4"/>
    <s v="Excellent"/>
    <s v="No"/>
    <n v="227"/>
    <n v="54"/>
    <n v="13"/>
    <s v="Yes"/>
    <s v="No"/>
    <x v="1"/>
    <x v="1"/>
    <n v="2020"/>
    <s v="Jul"/>
    <s v="26-30"/>
    <s v="90K-130K"/>
  </r>
  <r>
    <s v="E0303"/>
    <x v="1"/>
    <x v="6"/>
    <x v="0"/>
    <x v="16"/>
    <s v="Mid-Level"/>
    <n v="65335"/>
    <x v="291"/>
    <s v="Diploma"/>
    <x v="6"/>
    <s v="Divorced"/>
    <n v="6"/>
    <n v="4"/>
    <n v="5"/>
    <s v="Good"/>
    <s v="No"/>
    <n v="196"/>
    <n v="19"/>
    <n v="20"/>
    <s v="No"/>
    <s v="Yes"/>
    <x v="1"/>
    <x v="1"/>
    <n v="2022"/>
    <s v="Jan"/>
    <s v="36-40"/>
    <s v="60K-90K"/>
  </r>
  <r>
    <s v="E0304"/>
    <x v="0"/>
    <x v="2"/>
    <x v="5"/>
    <x v="25"/>
    <s v="Junior"/>
    <n v="30898"/>
    <x v="292"/>
    <s v="Diploma"/>
    <x v="5"/>
    <s v="Married"/>
    <n v="1"/>
    <n v="1"/>
    <n v="5"/>
    <s v="Excellent"/>
    <s v="No"/>
    <n v="189"/>
    <n v="70"/>
    <n v="30"/>
    <s v="No"/>
    <s v="Yes"/>
    <x v="1"/>
    <x v="1"/>
    <n v="2024"/>
    <s v="Apr"/>
    <s v="36-40"/>
    <s v="&lt;40K"/>
  </r>
  <r>
    <s v="E0305"/>
    <x v="1"/>
    <x v="1"/>
    <x v="3"/>
    <x v="3"/>
    <s v="Senior"/>
    <n v="75977"/>
    <x v="293"/>
    <s v="Diploma"/>
    <x v="5"/>
    <s v="Divorced"/>
    <n v="5"/>
    <n v="3"/>
    <n v="5"/>
    <s v="Good"/>
    <s v="No"/>
    <n v="157"/>
    <n v="8"/>
    <n v="11"/>
    <s v="No"/>
    <s v="No"/>
    <x v="1"/>
    <x v="1"/>
    <n v="2025"/>
    <s v="Sep"/>
    <s v="31-35"/>
    <s v="60K-90K"/>
  </r>
  <r>
    <s v="E0306"/>
    <x v="0"/>
    <x v="14"/>
    <x v="2"/>
    <x v="30"/>
    <s v="Senior"/>
    <n v="73686"/>
    <x v="294"/>
    <s v="Diploma"/>
    <x v="3"/>
    <s v="Divorced"/>
    <n v="14"/>
    <n v="3"/>
    <n v="3"/>
    <s v="Excellent"/>
    <s v="Yes"/>
    <n v="244"/>
    <n v="52"/>
    <n v="27"/>
    <s v="Yes"/>
    <s v="Yes"/>
    <x v="1"/>
    <x v="1"/>
    <n v="2022"/>
    <s v="Feb"/>
    <s v="31-35"/>
    <s v="60K-90K"/>
  </r>
  <r>
    <s v="E0307"/>
    <x v="0"/>
    <x v="26"/>
    <x v="7"/>
    <x v="8"/>
    <s v="Junior"/>
    <n v="39234"/>
    <x v="295"/>
    <s v="Master's"/>
    <x v="6"/>
    <s v="Divorced"/>
    <n v="0"/>
    <n v="5"/>
    <n v="2"/>
    <s v="Average"/>
    <s v="No"/>
    <n v="246"/>
    <n v="31"/>
    <n v="20"/>
    <s v="No"/>
    <s v="No"/>
    <x v="1"/>
    <x v="1"/>
    <n v="2020"/>
    <s v="Aug"/>
    <s v="36-40"/>
    <s v="&lt;40K"/>
  </r>
  <r>
    <s v="E0308"/>
    <x v="0"/>
    <x v="16"/>
    <x v="5"/>
    <x v="28"/>
    <s v="Junior"/>
    <n v="33491"/>
    <x v="296"/>
    <s v="PhD"/>
    <x v="6"/>
    <s v="Married"/>
    <n v="3"/>
    <n v="4"/>
    <n v="3"/>
    <s v="Average"/>
    <s v="No"/>
    <n v="245"/>
    <n v="72"/>
    <n v="29"/>
    <s v="No"/>
    <s v="No"/>
    <x v="1"/>
    <x v="1"/>
    <n v="2023"/>
    <s v="Jun"/>
    <s v="26-30"/>
    <s v="&lt;40K"/>
  </r>
  <r>
    <s v="E0309"/>
    <x v="1"/>
    <x v="0"/>
    <x v="7"/>
    <x v="17"/>
    <s v="Senior"/>
    <n v="99750"/>
    <x v="297"/>
    <s v="MBA"/>
    <x v="1"/>
    <s v="Married"/>
    <n v="5"/>
    <n v="5"/>
    <n v="3"/>
    <s v="Excellent"/>
    <s v="No"/>
    <n v="228"/>
    <n v="64"/>
    <n v="26"/>
    <s v="No"/>
    <s v="No"/>
    <x v="1"/>
    <x v="1"/>
    <n v="2020"/>
    <s v="Feb"/>
    <s v="31-35"/>
    <s v="90K-130K"/>
  </r>
  <r>
    <s v="E0310"/>
    <x v="0"/>
    <x v="4"/>
    <x v="3"/>
    <x v="21"/>
    <s v="Senior"/>
    <n v="100888"/>
    <x v="298"/>
    <s v="PhD"/>
    <x v="4"/>
    <s v="Single"/>
    <n v="5"/>
    <n v="1"/>
    <n v="1"/>
    <s v="Good"/>
    <s v="Yes"/>
    <n v="202"/>
    <n v="37"/>
    <n v="8"/>
    <s v="Yes"/>
    <s v="Yes"/>
    <x v="1"/>
    <x v="1"/>
    <n v="2026"/>
    <s v="Jul"/>
    <s v="26-30"/>
    <s v="90K-130K"/>
  </r>
  <r>
    <s v="E0311"/>
    <x v="0"/>
    <x v="4"/>
    <x v="0"/>
    <x v="9"/>
    <s v="Junior"/>
    <n v="31931"/>
    <x v="76"/>
    <s v="Master's"/>
    <x v="2"/>
    <s v="Married"/>
    <n v="0"/>
    <n v="2"/>
    <n v="4"/>
    <s v="Excellent"/>
    <s v="No"/>
    <n v="247"/>
    <n v="14"/>
    <n v="22"/>
    <s v="No"/>
    <s v="No"/>
    <x v="1"/>
    <x v="1"/>
    <n v="2025"/>
    <s v="Oct"/>
    <s v="26-30"/>
    <s v="&lt;40K"/>
  </r>
  <r>
    <s v="E0312"/>
    <x v="1"/>
    <x v="20"/>
    <x v="3"/>
    <x v="3"/>
    <s v="Mid-Level"/>
    <n v="67583"/>
    <x v="299"/>
    <s v="MBA"/>
    <x v="3"/>
    <s v="Married"/>
    <n v="2"/>
    <n v="1"/>
    <n v="4"/>
    <s v="Low"/>
    <s v="No"/>
    <n v="192"/>
    <n v="67"/>
    <n v="8"/>
    <s v="No"/>
    <s v="Yes"/>
    <x v="1"/>
    <x v="2"/>
    <n v="2022"/>
    <s v="Feb"/>
    <s v="36-40"/>
    <s v="60K-90K"/>
  </r>
  <r>
    <s v="E0313"/>
    <x v="0"/>
    <x v="6"/>
    <x v="7"/>
    <x v="29"/>
    <s v="Mid-Level"/>
    <n v="59715"/>
    <x v="300"/>
    <s v="Bachelor's"/>
    <x v="1"/>
    <s v="Divorced"/>
    <n v="5"/>
    <n v="5"/>
    <n v="1"/>
    <s v="Good"/>
    <s v="No"/>
    <n v="241"/>
    <n v="62"/>
    <n v="2"/>
    <s v="No"/>
    <s v="No"/>
    <x v="0"/>
    <x v="0"/>
    <n v="2021"/>
    <s v="Jun"/>
    <s v="36-40"/>
    <s v="40K-60K"/>
  </r>
  <r>
    <s v="E0314"/>
    <x v="0"/>
    <x v="6"/>
    <x v="0"/>
    <x v="10"/>
    <s v="Manager"/>
    <n v="124922"/>
    <x v="72"/>
    <s v="PhD"/>
    <x v="1"/>
    <s v="Divorced"/>
    <n v="10"/>
    <n v="4"/>
    <n v="5"/>
    <s v="Average"/>
    <s v="Yes"/>
    <n v="215"/>
    <n v="5"/>
    <n v="14"/>
    <s v="No"/>
    <s v="No"/>
    <x v="1"/>
    <x v="2"/>
    <n v="2022"/>
    <s v="Sep"/>
    <s v="36-40"/>
    <s v="90K-130K"/>
  </r>
  <r>
    <s v="E0315"/>
    <x v="0"/>
    <x v="22"/>
    <x v="3"/>
    <x v="3"/>
    <s v="Senior"/>
    <n v="91254"/>
    <x v="301"/>
    <s v="PhD"/>
    <x v="2"/>
    <s v="Divorced"/>
    <n v="5"/>
    <n v="1"/>
    <n v="3"/>
    <s v="Average"/>
    <s v="No"/>
    <n v="259"/>
    <n v="27"/>
    <n v="19"/>
    <s v="Yes"/>
    <s v="No"/>
    <x v="0"/>
    <x v="0"/>
    <n v="2026"/>
    <s v="Feb"/>
    <s v="41-50"/>
    <s v="90K-130K"/>
  </r>
  <r>
    <s v="E0316"/>
    <x v="1"/>
    <x v="14"/>
    <x v="1"/>
    <x v="11"/>
    <s v="Manager"/>
    <n v="103994"/>
    <x v="302"/>
    <s v="Master's"/>
    <x v="5"/>
    <s v="Divorced"/>
    <n v="18"/>
    <n v="4"/>
    <n v="1"/>
    <s v="Average"/>
    <s v="No"/>
    <n v="206"/>
    <n v="67"/>
    <n v="14"/>
    <s v="Yes"/>
    <s v="No"/>
    <x v="0"/>
    <x v="0"/>
    <n v="2023"/>
    <s v="Jan"/>
    <s v="31-35"/>
    <s v="90K-130K"/>
  </r>
  <r>
    <s v="E0317"/>
    <x v="1"/>
    <x v="2"/>
    <x v="7"/>
    <x v="17"/>
    <s v="Junior"/>
    <n v="29213"/>
    <x v="161"/>
    <s v="Diploma"/>
    <x v="6"/>
    <s v="Divorced"/>
    <n v="2"/>
    <n v="3"/>
    <n v="1"/>
    <s v="Average"/>
    <s v="No"/>
    <n v="165"/>
    <n v="79"/>
    <n v="9"/>
    <s v="Yes"/>
    <s v="No"/>
    <x v="1"/>
    <x v="1"/>
    <n v="2019"/>
    <s v="Aug"/>
    <s v="36-40"/>
    <s v="&lt;40K"/>
  </r>
  <r>
    <s v="E0318"/>
    <x v="0"/>
    <x v="17"/>
    <x v="7"/>
    <x v="29"/>
    <s v="Manager"/>
    <n v="96003"/>
    <x v="303"/>
    <s v="Bachelor's"/>
    <x v="6"/>
    <s v="Divorced"/>
    <n v="11"/>
    <n v="2"/>
    <n v="1"/>
    <s v="Average"/>
    <s v="Yes"/>
    <n v="230"/>
    <n v="80"/>
    <n v="4"/>
    <s v="Yes"/>
    <s v="Yes"/>
    <x v="1"/>
    <x v="1"/>
    <n v="2026"/>
    <s v="Apr"/>
    <s v="26-30"/>
    <s v="90K-130K"/>
  </r>
  <r>
    <s v="E0319"/>
    <x v="1"/>
    <x v="11"/>
    <x v="1"/>
    <x v="31"/>
    <s v="Mid-Level"/>
    <n v="55966"/>
    <x v="304"/>
    <s v="Master's"/>
    <x v="5"/>
    <s v="Divorced"/>
    <n v="4"/>
    <n v="4"/>
    <n v="3"/>
    <s v="Average"/>
    <s v="Yes"/>
    <n v="237"/>
    <n v="47"/>
    <n v="4"/>
    <s v="Yes"/>
    <s v="No"/>
    <x v="1"/>
    <x v="1"/>
    <n v="2026"/>
    <s v="Aug"/>
    <s v="31-35"/>
    <s v="40K-60K"/>
  </r>
  <r>
    <s v="E0320"/>
    <x v="0"/>
    <x v="1"/>
    <x v="4"/>
    <x v="19"/>
    <s v="Senior"/>
    <n v="101268"/>
    <x v="305"/>
    <s v="Diploma"/>
    <x v="7"/>
    <s v="Single"/>
    <n v="7"/>
    <n v="2"/>
    <n v="5"/>
    <s v="Low"/>
    <s v="Yes"/>
    <n v="167"/>
    <n v="67"/>
    <n v="4"/>
    <s v="Yes"/>
    <s v="Yes"/>
    <x v="1"/>
    <x v="1"/>
    <n v="2023"/>
    <s v="Dec"/>
    <s v="31-35"/>
    <s v="90K-130K"/>
  </r>
  <r>
    <s v="E0321"/>
    <x v="0"/>
    <x v="14"/>
    <x v="2"/>
    <x v="30"/>
    <s v="Manager"/>
    <n v="152391"/>
    <x v="306"/>
    <s v="Master's"/>
    <x v="5"/>
    <s v="Divorced"/>
    <n v="19"/>
    <n v="2"/>
    <n v="2"/>
    <s v="Average"/>
    <s v="No"/>
    <n v="184"/>
    <n v="68"/>
    <n v="21"/>
    <s v="Yes"/>
    <s v="No"/>
    <x v="1"/>
    <x v="1"/>
    <n v="2020"/>
    <s v="Jun"/>
    <s v="31-35"/>
    <s v="130K+"/>
  </r>
  <r>
    <s v="E0322"/>
    <x v="1"/>
    <x v="2"/>
    <x v="4"/>
    <x v="27"/>
    <s v="Mid-Level"/>
    <n v="48288"/>
    <x v="307"/>
    <s v="Master's"/>
    <x v="2"/>
    <s v="Single"/>
    <n v="2"/>
    <n v="1"/>
    <n v="5"/>
    <s v="Average"/>
    <s v="No"/>
    <n v="260"/>
    <n v="19"/>
    <n v="27"/>
    <s v="Yes"/>
    <s v="No"/>
    <x v="1"/>
    <x v="2"/>
    <n v="2024"/>
    <s v="Dec"/>
    <s v="36-40"/>
    <s v="40K-60K"/>
  </r>
  <r>
    <s v="E0323"/>
    <x v="1"/>
    <x v="19"/>
    <x v="6"/>
    <x v="26"/>
    <s v="Junior"/>
    <n v="29770"/>
    <x v="308"/>
    <s v="Bachelor's"/>
    <x v="3"/>
    <s v="Single"/>
    <n v="2"/>
    <n v="2"/>
    <n v="4"/>
    <s v="Low"/>
    <s v="No"/>
    <n v="192"/>
    <n v="67"/>
    <n v="18"/>
    <s v="Yes"/>
    <s v="No"/>
    <x v="0"/>
    <x v="0"/>
    <n v="2022"/>
    <s v="Mar"/>
    <s v="26-30"/>
    <s v="&lt;40K"/>
  </r>
  <r>
    <s v="E0324"/>
    <x v="0"/>
    <x v="30"/>
    <x v="1"/>
    <x v="1"/>
    <s v="Senior"/>
    <n v="92463"/>
    <x v="227"/>
    <s v="PhD"/>
    <x v="0"/>
    <s v="Married"/>
    <n v="8"/>
    <n v="3"/>
    <n v="2"/>
    <s v="Average"/>
    <s v="Yes"/>
    <n v="191"/>
    <n v="14"/>
    <n v="17"/>
    <s v="No"/>
    <s v="No"/>
    <x v="0"/>
    <x v="0"/>
    <n v="2026"/>
    <s v="Aug"/>
    <s v="41-50"/>
    <s v="90K-130K"/>
  </r>
  <r>
    <s v="E0325"/>
    <x v="1"/>
    <x v="10"/>
    <x v="0"/>
    <x v="16"/>
    <s v="Mid-Level"/>
    <n v="49083"/>
    <x v="309"/>
    <s v="MBA"/>
    <x v="2"/>
    <s v="Single"/>
    <n v="6"/>
    <n v="2"/>
    <n v="4"/>
    <s v="Good"/>
    <s v="No"/>
    <n v="167"/>
    <n v="21"/>
    <n v="3"/>
    <s v="No"/>
    <s v="No"/>
    <x v="1"/>
    <x v="1"/>
    <n v="2024"/>
    <s v="Feb"/>
    <s v="21-25"/>
    <s v="40K-60K"/>
  </r>
  <r>
    <s v="E0326"/>
    <x v="1"/>
    <x v="15"/>
    <x v="6"/>
    <x v="7"/>
    <s v="Manager"/>
    <n v="150106"/>
    <x v="310"/>
    <s v="Diploma"/>
    <x v="3"/>
    <s v="Divorced"/>
    <n v="14"/>
    <n v="3"/>
    <n v="2"/>
    <s v="Average"/>
    <s v="No"/>
    <n v="227"/>
    <n v="16"/>
    <n v="15"/>
    <s v="No"/>
    <s v="No"/>
    <x v="1"/>
    <x v="2"/>
    <n v="2020"/>
    <s v="Dec"/>
    <s v="21-25"/>
    <s v="130K+"/>
  </r>
  <r>
    <s v="E0327"/>
    <x v="0"/>
    <x v="26"/>
    <x v="7"/>
    <x v="17"/>
    <s v="Senior"/>
    <n v="65950"/>
    <x v="311"/>
    <s v="Diploma"/>
    <x v="3"/>
    <s v="Divorced"/>
    <n v="11"/>
    <n v="2"/>
    <n v="3"/>
    <s v="Low"/>
    <s v="No"/>
    <n v="224"/>
    <n v="58"/>
    <n v="3"/>
    <s v="Yes"/>
    <s v="No"/>
    <x v="1"/>
    <x v="2"/>
    <n v="2021"/>
    <s v="Oct"/>
    <s v="36-40"/>
    <s v="60K-90K"/>
  </r>
  <r>
    <s v="E0328"/>
    <x v="0"/>
    <x v="6"/>
    <x v="4"/>
    <x v="18"/>
    <s v="Manager"/>
    <n v="102844"/>
    <x v="312"/>
    <s v="PhD"/>
    <x v="0"/>
    <s v="Single"/>
    <n v="15"/>
    <n v="2"/>
    <n v="1"/>
    <s v="Good"/>
    <s v="No"/>
    <n v="246"/>
    <n v="42"/>
    <n v="9"/>
    <s v="No"/>
    <s v="Yes"/>
    <x v="1"/>
    <x v="1"/>
    <n v="2024"/>
    <s v="Jul"/>
    <s v="36-40"/>
    <s v="90K-130K"/>
  </r>
  <r>
    <s v="E0329"/>
    <x v="0"/>
    <x v="2"/>
    <x v="7"/>
    <x v="20"/>
    <s v="Mid-Level"/>
    <n v="65045"/>
    <x v="313"/>
    <s v="PhD"/>
    <x v="3"/>
    <s v="Married"/>
    <n v="5"/>
    <n v="5"/>
    <n v="1"/>
    <s v="Excellent"/>
    <s v="No"/>
    <n v="209"/>
    <n v="5"/>
    <n v="29"/>
    <s v="No"/>
    <s v="No"/>
    <x v="1"/>
    <x v="1"/>
    <n v="2025"/>
    <s v="May"/>
    <s v="36-40"/>
    <s v="60K-90K"/>
  </r>
  <r>
    <s v="E0330"/>
    <x v="1"/>
    <x v="2"/>
    <x v="3"/>
    <x v="15"/>
    <s v="Senior"/>
    <n v="92911"/>
    <x v="314"/>
    <s v="MBA"/>
    <x v="5"/>
    <s v="Divorced"/>
    <n v="9"/>
    <n v="5"/>
    <n v="5"/>
    <s v="Good"/>
    <s v="Yes"/>
    <n v="250"/>
    <n v="11"/>
    <n v="5"/>
    <s v="No"/>
    <s v="Yes"/>
    <x v="1"/>
    <x v="1"/>
    <n v="2025"/>
    <s v="Nov"/>
    <s v="36-40"/>
    <s v="90K-130K"/>
  </r>
  <r>
    <s v="E0331"/>
    <x v="1"/>
    <x v="1"/>
    <x v="0"/>
    <x v="0"/>
    <s v="Senior"/>
    <n v="76486"/>
    <x v="315"/>
    <s v="PhD"/>
    <x v="0"/>
    <s v="Divorced"/>
    <n v="13"/>
    <n v="5"/>
    <n v="2"/>
    <s v="Average"/>
    <s v="Yes"/>
    <n v="192"/>
    <n v="46"/>
    <n v="13"/>
    <s v="No"/>
    <s v="No"/>
    <x v="1"/>
    <x v="2"/>
    <n v="2019"/>
    <s v="Oct"/>
    <s v="31-35"/>
    <s v="60K-90K"/>
  </r>
  <r>
    <s v="E0332"/>
    <x v="1"/>
    <x v="12"/>
    <x v="0"/>
    <x v="10"/>
    <s v="Senior"/>
    <n v="87624"/>
    <x v="316"/>
    <s v="MBA"/>
    <x v="1"/>
    <s v="Single"/>
    <n v="12"/>
    <n v="5"/>
    <n v="5"/>
    <s v="Excellent"/>
    <s v="Yes"/>
    <n v="210"/>
    <n v="16"/>
    <n v="4"/>
    <s v="No"/>
    <s v="No"/>
    <x v="1"/>
    <x v="1"/>
    <n v="2024"/>
    <s v="Jun"/>
    <s v="21-25"/>
    <s v="60K-90K"/>
  </r>
  <r>
    <s v="E0333"/>
    <x v="1"/>
    <x v="14"/>
    <x v="2"/>
    <x v="23"/>
    <s v="Mid-Level"/>
    <n v="51042"/>
    <x v="317"/>
    <s v="Diploma"/>
    <x v="3"/>
    <s v="Married"/>
    <n v="2"/>
    <n v="4"/>
    <n v="2"/>
    <s v="Good"/>
    <s v="Yes"/>
    <n v="216"/>
    <n v="58"/>
    <n v="16"/>
    <s v="No"/>
    <s v="Yes"/>
    <x v="1"/>
    <x v="1"/>
    <n v="2020"/>
    <s v="Aug"/>
    <s v="31-35"/>
    <s v="40K-60K"/>
  </r>
  <r>
    <s v="E0334"/>
    <x v="1"/>
    <x v="16"/>
    <x v="1"/>
    <x v="31"/>
    <s v="Junior"/>
    <n v="35612"/>
    <x v="318"/>
    <s v="Diploma"/>
    <x v="6"/>
    <s v="Married"/>
    <n v="2"/>
    <n v="5"/>
    <n v="3"/>
    <s v="Good"/>
    <s v="No"/>
    <n v="232"/>
    <n v="77"/>
    <n v="6"/>
    <s v="No"/>
    <s v="No"/>
    <x v="1"/>
    <x v="1"/>
    <n v="2023"/>
    <s v="Aug"/>
    <s v="26-30"/>
    <s v="&lt;40K"/>
  </r>
  <r>
    <s v="E0335"/>
    <x v="1"/>
    <x v="21"/>
    <x v="1"/>
    <x v="1"/>
    <s v="Senior"/>
    <n v="83883"/>
    <x v="156"/>
    <s v="MBA"/>
    <x v="3"/>
    <s v="Single"/>
    <n v="5"/>
    <n v="3"/>
    <n v="3"/>
    <s v="Average"/>
    <s v="No"/>
    <n v="171"/>
    <n v="25"/>
    <n v="9"/>
    <s v="Yes"/>
    <s v="No"/>
    <x v="1"/>
    <x v="1"/>
    <n v="2020"/>
    <s v="Aug"/>
    <s v="36-40"/>
    <s v="60K-90K"/>
  </r>
  <r>
    <s v="E0336"/>
    <x v="1"/>
    <x v="4"/>
    <x v="6"/>
    <x v="24"/>
    <s v="Senior"/>
    <n v="89226"/>
    <x v="319"/>
    <s v="PhD"/>
    <x v="3"/>
    <s v="Divorced"/>
    <n v="7"/>
    <n v="5"/>
    <n v="1"/>
    <s v="Good"/>
    <s v="No"/>
    <n v="190"/>
    <n v="20"/>
    <n v="2"/>
    <s v="No"/>
    <s v="No"/>
    <x v="1"/>
    <x v="2"/>
    <n v="2021"/>
    <s v="Apr"/>
    <s v="26-30"/>
    <s v="60K-90K"/>
  </r>
  <r>
    <s v="E0337"/>
    <x v="0"/>
    <x v="19"/>
    <x v="7"/>
    <x v="20"/>
    <s v="Mid-Level"/>
    <n v="42140"/>
    <x v="320"/>
    <s v="MBA"/>
    <x v="3"/>
    <s v="Divorced"/>
    <n v="7"/>
    <n v="5"/>
    <n v="3"/>
    <s v="Excellent"/>
    <s v="No"/>
    <n v="240"/>
    <n v="48"/>
    <n v="24"/>
    <s v="Yes"/>
    <s v="No"/>
    <x v="1"/>
    <x v="2"/>
    <n v="2025"/>
    <s v="Feb"/>
    <s v="26-30"/>
    <s v="40K-60K"/>
  </r>
  <r>
    <s v="E0338"/>
    <x v="0"/>
    <x v="17"/>
    <x v="6"/>
    <x v="7"/>
    <s v="Senior"/>
    <n v="66625"/>
    <x v="321"/>
    <s v="Master's"/>
    <x v="0"/>
    <s v="Married"/>
    <n v="11"/>
    <n v="2"/>
    <n v="4"/>
    <s v="Average"/>
    <s v="No"/>
    <n v="161"/>
    <n v="7"/>
    <n v="4"/>
    <s v="No"/>
    <s v="No"/>
    <x v="0"/>
    <x v="0"/>
    <n v="2025"/>
    <s v="Dec"/>
    <s v="26-30"/>
    <s v="60K-90K"/>
  </r>
  <r>
    <s v="E0339"/>
    <x v="1"/>
    <x v="11"/>
    <x v="2"/>
    <x v="2"/>
    <s v="Mid-Level"/>
    <n v="58071"/>
    <x v="322"/>
    <s v="PhD"/>
    <x v="4"/>
    <s v="Married"/>
    <n v="4"/>
    <n v="5"/>
    <n v="5"/>
    <s v="Good"/>
    <s v="Yes"/>
    <n v="235"/>
    <n v="6"/>
    <n v="11"/>
    <s v="No"/>
    <s v="No"/>
    <x v="1"/>
    <x v="1"/>
    <n v="2025"/>
    <s v="Oct"/>
    <s v="31-35"/>
    <s v="40K-60K"/>
  </r>
  <r>
    <s v="E0340"/>
    <x v="1"/>
    <x v="7"/>
    <x v="7"/>
    <x v="29"/>
    <s v="Mid-Level"/>
    <n v="65850"/>
    <x v="323"/>
    <s v="PhD"/>
    <x v="3"/>
    <s v="Divorced"/>
    <n v="5"/>
    <n v="4"/>
    <n v="3"/>
    <s v="Low"/>
    <s v="Yes"/>
    <n v="253"/>
    <n v="23"/>
    <n v="8"/>
    <s v="No"/>
    <s v="No"/>
    <x v="1"/>
    <x v="2"/>
    <n v="2023"/>
    <s v="Aug"/>
    <s v="26-30"/>
    <s v="60K-90K"/>
  </r>
  <r>
    <s v="E0341"/>
    <x v="1"/>
    <x v="19"/>
    <x v="2"/>
    <x v="2"/>
    <s v="Junior"/>
    <n v="28216"/>
    <x v="324"/>
    <s v="Master's"/>
    <x v="0"/>
    <s v="Single"/>
    <n v="3"/>
    <n v="3"/>
    <n v="4"/>
    <s v="Excellent"/>
    <s v="Yes"/>
    <n v="221"/>
    <n v="42"/>
    <n v="19"/>
    <s v="No"/>
    <s v="No"/>
    <x v="1"/>
    <x v="1"/>
    <n v="2026"/>
    <s v="Mar"/>
    <s v="26-30"/>
    <s v="&lt;40K"/>
  </r>
  <r>
    <s v="E0342"/>
    <x v="1"/>
    <x v="8"/>
    <x v="5"/>
    <x v="25"/>
    <s v="Manager"/>
    <n v="119428"/>
    <x v="325"/>
    <s v="MBA"/>
    <x v="7"/>
    <s v="Single"/>
    <n v="8"/>
    <n v="2"/>
    <n v="3"/>
    <s v="Excellent"/>
    <s v="No"/>
    <n v="231"/>
    <n v="36"/>
    <n v="2"/>
    <s v="Yes"/>
    <s v="No"/>
    <x v="0"/>
    <x v="0"/>
    <n v="2019"/>
    <s v="Jan"/>
    <s v="31-35"/>
    <s v="90K-130K"/>
  </r>
  <r>
    <s v="E0343"/>
    <x v="1"/>
    <x v="8"/>
    <x v="7"/>
    <x v="29"/>
    <s v="Senior"/>
    <n v="103080"/>
    <x v="326"/>
    <s v="Bachelor's"/>
    <x v="4"/>
    <s v="Divorced"/>
    <n v="12"/>
    <n v="4"/>
    <n v="3"/>
    <s v="Low"/>
    <s v="No"/>
    <n v="237"/>
    <n v="38"/>
    <n v="7"/>
    <s v="No"/>
    <s v="No"/>
    <x v="1"/>
    <x v="1"/>
    <n v="2025"/>
    <s v="May"/>
    <s v="31-35"/>
    <s v="90K-130K"/>
  </r>
  <r>
    <s v="E0344"/>
    <x v="0"/>
    <x v="7"/>
    <x v="3"/>
    <x v="4"/>
    <s v="Mid-Level"/>
    <n v="53710"/>
    <x v="327"/>
    <s v="MBA"/>
    <x v="1"/>
    <s v="Divorced"/>
    <n v="3"/>
    <n v="3"/>
    <n v="3"/>
    <s v="Average"/>
    <s v="No"/>
    <n v="231"/>
    <n v="28"/>
    <n v="26"/>
    <s v="Yes"/>
    <s v="No"/>
    <x v="0"/>
    <x v="0"/>
    <n v="2019"/>
    <s v="Aug"/>
    <s v="26-30"/>
    <s v="40K-60K"/>
  </r>
  <r>
    <s v="E0345"/>
    <x v="0"/>
    <x v="7"/>
    <x v="3"/>
    <x v="3"/>
    <s v="Senior"/>
    <n v="82790"/>
    <x v="328"/>
    <s v="Diploma"/>
    <x v="2"/>
    <s v="Married"/>
    <n v="10"/>
    <n v="5"/>
    <n v="5"/>
    <s v="Excellent"/>
    <s v="No"/>
    <n v="255"/>
    <n v="57"/>
    <n v="12"/>
    <s v="Yes"/>
    <s v="No"/>
    <x v="0"/>
    <x v="0"/>
    <n v="2020"/>
    <s v="Jan"/>
    <s v="26-30"/>
    <s v="60K-90K"/>
  </r>
  <r>
    <s v="E0346"/>
    <x v="0"/>
    <x v="8"/>
    <x v="1"/>
    <x v="14"/>
    <s v="Mid-Level"/>
    <n v="69249"/>
    <x v="329"/>
    <s v="Bachelor's"/>
    <x v="1"/>
    <s v="Single"/>
    <n v="3"/>
    <n v="5"/>
    <n v="5"/>
    <s v="Low"/>
    <s v="No"/>
    <n v="241"/>
    <n v="66"/>
    <n v="13"/>
    <s v="No"/>
    <s v="Yes"/>
    <x v="1"/>
    <x v="1"/>
    <n v="2025"/>
    <s v="Apr"/>
    <s v="31-35"/>
    <s v="60K-90K"/>
  </r>
  <r>
    <s v="E0347"/>
    <x v="0"/>
    <x v="9"/>
    <x v="7"/>
    <x v="20"/>
    <s v="Mid-Level"/>
    <n v="65261"/>
    <x v="330"/>
    <s v="MBA"/>
    <x v="3"/>
    <s v="Single"/>
    <n v="4"/>
    <n v="1"/>
    <n v="2"/>
    <s v="Average"/>
    <s v="Yes"/>
    <n v="259"/>
    <n v="15"/>
    <n v="15"/>
    <s v="No"/>
    <s v="No"/>
    <x v="1"/>
    <x v="1"/>
    <n v="2019"/>
    <s v="Apr"/>
    <s v="21-25"/>
    <s v="60K-90K"/>
  </r>
  <r>
    <s v="E0348"/>
    <x v="0"/>
    <x v="13"/>
    <x v="0"/>
    <x v="16"/>
    <s v="Manager"/>
    <n v="95572"/>
    <x v="331"/>
    <s v="MBA"/>
    <x v="5"/>
    <s v="Single"/>
    <n v="11"/>
    <n v="1"/>
    <n v="5"/>
    <s v="Good"/>
    <s v="No"/>
    <n v="157"/>
    <n v="6"/>
    <n v="26"/>
    <s v="Yes"/>
    <s v="No"/>
    <x v="0"/>
    <x v="0"/>
    <n v="2020"/>
    <s v="Mar"/>
    <s v="21-25"/>
    <s v="90K-130K"/>
  </r>
  <r>
    <s v="E0349"/>
    <x v="0"/>
    <x v="19"/>
    <x v="1"/>
    <x v="14"/>
    <s v="Mid-Level"/>
    <n v="63974"/>
    <x v="332"/>
    <s v="Diploma"/>
    <x v="0"/>
    <s v="Divorced"/>
    <n v="4"/>
    <n v="1"/>
    <n v="2"/>
    <s v="Low"/>
    <s v="No"/>
    <n v="185"/>
    <n v="17"/>
    <n v="28"/>
    <s v="No"/>
    <s v="No"/>
    <x v="1"/>
    <x v="1"/>
    <n v="2019"/>
    <s v="Apr"/>
    <s v="26-30"/>
    <s v="60K-90K"/>
  </r>
  <r>
    <s v="E0350"/>
    <x v="0"/>
    <x v="4"/>
    <x v="1"/>
    <x v="11"/>
    <s v="Mid-Level"/>
    <n v="66707"/>
    <x v="333"/>
    <s v="Diploma"/>
    <x v="3"/>
    <s v="Married"/>
    <n v="6"/>
    <n v="1"/>
    <n v="2"/>
    <s v="Low"/>
    <s v="No"/>
    <n v="258"/>
    <n v="28"/>
    <n v="28"/>
    <s v="No"/>
    <s v="No"/>
    <x v="1"/>
    <x v="2"/>
    <n v="2019"/>
    <s v="Jan"/>
    <s v="26-30"/>
    <s v="60K-90K"/>
  </r>
  <r>
    <s v="E0351"/>
    <x v="1"/>
    <x v="11"/>
    <x v="1"/>
    <x v="14"/>
    <s v="Manager"/>
    <n v="104790"/>
    <x v="334"/>
    <s v="MBA"/>
    <x v="2"/>
    <s v="Divorced"/>
    <n v="20"/>
    <n v="1"/>
    <n v="4"/>
    <s v="Low"/>
    <s v="Yes"/>
    <n v="216"/>
    <n v="15"/>
    <n v="12"/>
    <s v="No"/>
    <s v="No"/>
    <x v="1"/>
    <x v="1"/>
    <n v="2022"/>
    <s v="Jul"/>
    <s v="31-35"/>
    <s v="90K-130K"/>
  </r>
  <r>
    <s v="E0352"/>
    <x v="1"/>
    <x v="3"/>
    <x v="5"/>
    <x v="25"/>
    <s v="Senior"/>
    <n v="94095"/>
    <x v="335"/>
    <s v="PhD"/>
    <x v="4"/>
    <s v="Single"/>
    <n v="8"/>
    <n v="4"/>
    <n v="3"/>
    <s v="Low"/>
    <s v="No"/>
    <n v="174"/>
    <n v="67"/>
    <n v="23"/>
    <s v="Yes"/>
    <s v="Yes"/>
    <x v="1"/>
    <x v="2"/>
    <n v="2025"/>
    <s v="Mar"/>
    <s v="41-50"/>
    <s v="90K-130K"/>
  </r>
  <r>
    <s v="E0353"/>
    <x v="1"/>
    <x v="21"/>
    <x v="2"/>
    <x v="23"/>
    <s v="Mid-Level"/>
    <n v="54937"/>
    <x v="336"/>
    <s v="Diploma"/>
    <x v="7"/>
    <s v="Single"/>
    <n v="5"/>
    <n v="1"/>
    <n v="2"/>
    <s v="Average"/>
    <s v="Yes"/>
    <n v="196"/>
    <n v="59"/>
    <n v="25"/>
    <s v="No"/>
    <s v="No"/>
    <x v="1"/>
    <x v="1"/>
    <n v="2025"/>
    <s v="Aug"/>
    <s v="36-40"/>
    <s v="40K-60K"/>
  </r>
  <r>
    <s v="E0354"/>
    <x v="1"/>
    <x v="4"/>
    <x v="4"/>
    <x v="5"/>
    <s v="Manager"/>
    <n v="143011"/>
    <x v="337"/>
    <s v="PhD"/>
    <x v="0"/>
    <s v="Divorced"/>
    <n v="15"/>
    <n v="3"/>
    <n v="2"/>
    <s v="Average"/>
    <s v="No"/>
    <n v="163"/>
    <n v="8"/>
    <n v="5"/>
    <s v="No"/>
    <s v="Yes"/>
    <x v="1"/>
    <x v="1"/>
    <n v="2024"/>
    <s v="Sep"/>
    <s v="26-30"/>
    <s v="130K+"/>
  </r>
  <r>
    <s v="E0355"/>
    <x v="0"/>
    <x v="1"/>
    <x v="7"/>
    <x v="29"/>
    <s v="Mid-Level"/>
    <n v="54538"/>
    <x v="338"/>
    <s v="Diploma"/>
    <x v="6"/>
    <s v="Married"/>
    <n v="6"/>
    <n v="3"/>
    <n v="2"/>
    <s v="Average"/>
    <s v="No"/>
    <n v="229"/>
    <n v="42"/>
    <n v="23"/>
    <s v="No"/>
    <s v="Yes"/>
    <x v="1"/>
    <x v="2"/>
    <n v="2026"/>
    <s v="Aug"/>
    <s v="31-35"/>
    <s v="40K-60K"/>
  </r>
  <r>
    <s v="E0356"/>
    <x v="1"/>
    <x v="10"/>
    <x v="3"/>
    <x v="15"/>
    <s v="Junior"/>
    <n v="42103"/>
    <x v="339"/>
    <s v="Master's"/>
    <x v="2"/>
    <s v="Divorced"/>
    <n v="0"/>
    <n v="4"/>
    <n v="3"/>
    <s v="Average"/>
    <s v="No"/>
    <n v="206"/>
    <n v="67"/>
    <n v="15"/>
    <s v="Yes"/>
    <s v="No"/>
    <x v="0"/>
    <x v="0"/>
    <n v="2023"/>
    <s v="Apr"/>
    <s v="21-25"/>
    <s v="40K-60K"/>
  </r>
  <r>
    <s v="E0357"/>
    <x v="1"/>
    <x v="1"/>
    <x v="4"/>
    <x v="18"/>
    <s v="Junior"/>
    <n v="44074"/>
    <x v="340"/>
    <s v="Diploma"/>
    <x v="7"/>
    <s v="Divorced"/>
    <n v="3"/>
    <n v="5"/>
    <n v="2"/>
    <s v="Good"/>
    <s v="No"/>
    <n v="157"/>
    <n v="41"/>
    <n v="12"/>
    <s v="Yes"/>
    <s v="No"/>
    <x v="1"/>
    <x v="1"/>
    <n v="2024"/>
    <s v="May"/>
    <s v="31-35"/>
    <s v="40K-60K"/>
  </r>
  <r>
    <s v="E0358"/>
    <x v="0"/>
    <x v="17"/>
    <x v="6"/>
    <x v="22"/>
    <s v="Senior"/>
    <n v="103270"/>
    <x v="341"/>
    <s v="PhD"/>
    <x v="4"/>
    <s v="Single"/>
    <n v="5"/>
    <n v="3"/>
    <n v="4"/>
    <s v="Average"/>
    <s v="Yes"/>
    <n v="204"/>
    <n v="36"/>
    <n v="9"/>
    <s v="No"/>
    <s v="No"/>
    <x v="1"/>
    <x v="1"/>
    <n v="2026"/>
    <s v="Jan"/>
    <s v="26-30"/>
    <s v="90K-130K"/>
  </r>
  <r>
    <s v="E0359"/>
    <x v="0"/>
    <x v="11"/>
    <x v="2"/>
    <x v="30"/>
    <s v="Junior"/>
    <n v="39062"/>
    <x v="342"/>
    <s v="PhD"/>
    <x v="2"/>
    <s v="Single"/>
    <n v="1"/>
    <n v="5"/>
    <n v="3"/>
    <s v="Excellent"/>
    <s v="Yes"/>
    <n v="208"/>
    <n v="80"/>
    <n v="2"/>
    <s v="No"/>
    <s v="No"/>
    <x v="1"/>
    <x v="2"/>
    <n v="2019"/>
    <s v="Mar"/>
    <s v="31-35"/>
    <s v="&lt;40K"/>
  </r>
  <r>
    <s v="E0360"/>
    <x v="1"/>
    <x v="19"/>
    <x v="3"/>
    <x v="15"/>
    <s v="Manager"/>
    <n v="103114"/>
    <x v="216"/>
    <s v="MBA"/>
    <x v="4"/>
    <s v="Married"/>
    <n v="19"/>
    <n v="2"/>
    <n v="3"/>
    <s v="Average"/>
    <s v="No"/>
    <n v="214"/>
    <n v="68"/>
    <n v="22"/>
    <s v="Yes"/>
    <s v="No"/>
    <x v="0"/>
    <x v="0"/>
    <n v="2026"/>
    <s v="Jul"/>
    <s v="26-30"/>
    <s v="90K-130K"/>
  </r>
  <r>
    <s v="E0361"/>
    <x v="0"/>
    <x v="0"/>
    <x v="5"/>
    <x v="6"/>
    <s v="Junior"/>
    <n v="37742"/>
    <x v="343"/>
    <s v="MBA"/>
    <x v="1"/>
    <s v="Divorced"/>
    <n v="3"/>
    <n v="5"/>
    <n v="1"/>
    <s v="Excellent"/>
    <s v="No"/>
    <n v="258"/>
    <n v="59"/>
    <n v="8"/>
    <s v="No"/>
    <s v="Yes"/>
    <x v="1"/>
    <x v="1"/>
    <n v="2021"/>
    <s v="Jul"/>
    <s v="31-35"/>
    <s v="&lt;40K"/>
  </r>
  <r>
    <s v="E0362"/>
    <x v="1"/>
    <x v="3"/>
    <x v="5"/>
    <x v="25"/>
    <s v="Senior"/>
    <n v="78112"/>
    <x v="344"/>
    <s v="Diploma"/>
    <x v="3"/>
    <s v="Divorced"/>
    <n v="11"/>
    <n v="3"/>
    <n v="5"/>
    <s v="Excellent"/>
    <s v="No"/>
    <n v="208"/>
    <n v="32"/>
    <n v="23"/>
    <s v="No"/>
    <s v="No"/>
    <x v="1"/>
    <x v="2"/>
    <n v="2023"/>
    <s v="Jul"/>
    <s v="41-50"/>
    <s v="60K-90K"/>
  </r>
  <r>
    <s v="E0363"/>
    <x v="1"/>
    <x v="1"/>
    <x v="4"/>
    <x v="27"/>
    <s v="Mid-Level"/>
    <n v="53936"/>
    <x v="345"/>
    <s v="PhD"/>
    <x v="4"/>
    <s v="Single"/>
    <n v="5"/>
    <n v="2"/>
    <n v="2"/>
    <s v="Average"/>
    <s v="No"/>
    <n v="237"/>
    <n v="57"/>
    <n v="10"/>
    <s v="No"/>
    <s v="No"/>
    <x v="1"/>
    <x v="1"/>
    <n v="2020"/>
    <s v="Aug"/>
    <s v="31-35"/>
    <s v="40K-60K"/>
  </r>
  <r>
    <s v="E0364"/>
    <x v="1"/>
    <x v="11"/>
    <x v="1"/>
    <x v="1"/>
    <s v="Mid-Level"/>
    <n v="45721"/>
    <x v="346"/>
    <s v="PhD"/>
    <x v="7"/>
    <s v="Divorced"/>
    <n v="3"/>
    <n v="1"/>
    <n v="2"/>
    <s v="Low"/>
    <s v="No"/>
    <n v="209"/>
    <n v="30"/>
    <n v="7"/>
    <s v="No"/>
    <s v="No"/>
    <x v="1"/>
    <x v="1"/>
    <n v="2021"/>
    <s v="Feb"/>
    <s v="31-35"/>
    <s v="40K-60K"/>
  </r>
  <r>
    <s v="E0365"/>
    <x v="0"/>
    <x v="2"/>
    <x v="5"/>
    <x v="6"/>
    <s v="Mid-Level"/>
    <n v="63112"/>
    <x v="347"/>
    <s v="PhD"/>
    <x v="4"/>
    <s v="Divorced"/>
    <n v="2"/>
    <n v="1"/>
    <n v="1"/>
    <s v="Low"/>
    <s v="Yes"/>
    <n v="190"/>
    <n v="55"/>
    <n v="28"/>
    <s v="No"/>
    <s v="No"/>
    <x v="1"/>
    <x v="1"/>
    <n v="2024"/>
    <s v="Jun"/>
    <s v="36-40"/>
    <s v="60K-90K"/>
  </r>
  <r>
    <s v="E0366"/>
    <x v="0"/>
    <x v="17"/>
    <x v="2"/>
    <x v="23"/>
    <s v="Senior"/>
    <n v="97535"/>
    <x v="348"/>
    <s v="Master's"/>
    <x v="7"/>
    <s v="Single"/>
    <n v="6"/>
    <n v="5"/>
    <n v="1"/>
    <s v="Average"/>
    <s v="No"/>
    <n v="192"/>
    <n v="18"/>
    <n v="7"/>
    <s v="Yes"/>
    <s v="No"/>
    <x v="1"/>
    <x v="1"/>
    <n v="2021"/>
    <s v="Sep"/>
    <s v="26-30"/>
    <s v="90K-130K"/>
  </r>
  <r>
    <s v="E0367"/>
    <x v="1"/>
    <x v="8"/>
    <x v="4"/>
    <x v="5"/>
    <s v="Junior"/>
    <n v="44068"/>
    <x v="284"/>
    <s v="Master's"/>
    <x v="4"/>
    <s v="Married"/>
    <n v="2"/>
    <n v="3"/>
    <n v="5"/>
    <s v="Good"/>
    <s v="No"/>
    <n v="210"/>
    <n v="44"/>
    <n v="2"/>
    <s v="No"/>
    <s v="No"/>
    <x v="1"/>
    <x v="1"/>
    <n v="2020"/>
    <s v="Apr"/>
    <s v="31-35"/>
    <s v="40K-60K"/>
  </r>
  <r>
    <s v="E0368"/>
    <x v="0"/>
    <x v="14"/>
    <x v="1"/>
    <x v="11"/>
    <s v="Manager"/>
    <n v="130536"/>
    <x v="349"/>
    <s v="PhD"/>
    <x v="2"/>
    <s v="Married"/>
    <n v="18"/>
    <n v="1"/>
    <n v="5"/>
    <s v="Low"/>
    <s v="Yes"/>
    <n v="259"/>
    <n v="35"/>
    <n v="11"/>
    <s v="Yes"/>
    <s v="No"/>
    <x v="1"/>
    <x v="1"/>
    <n v="2023"/>
    <s v="Jan"/>
    <s v="31-35"/>
    <s v="130K+"/>
  </r>
  <r>
    <s v="E0369"/>
    <x v="1"/>
    <x v="14"/>
    <x v="3"/>
    <x v="4"/>
    <s v="Junior"/>
    <n v="36979"/>
    <x v="350"/>
    <s v="Bachelor's"/>
    <x v="3"/>
    <s v="Divorced"/>
    <n v="0"/>
    <n v="4"/>
    <n v="4"/>
    <s v="Good"/>
    <s v="No"/>
    <n v="241"/>
    <n v="69"/>
    <n v="4"/>
    <s v="No"/>
    <s v="No"/>
    <x v="1"/>
    <x v="2"/>
    <n v="2024"/>
    <s v="Jul"/>
    <s v="31-35"/>
    <s v="&lt;40K"/>
  </r>
  <r>
    <s v="E0370"/>
    <x v="1"/>
    <x v="19"/>
    <x v="7"/>
    <x v="29"/>
    <s v="Junior"/>
    <n v="34020"/>
    <x v="351"/>
    <s v="Bachelor's"/>
    <x v="1"/>
    <s v="Single"/>
    <n v="3"/>
    <n v="2"/>
    <n v="1"/>
    <s v="Average"/>
    <s v="No"/>
    <n v="175"/>
    <n v="71"/>
    <n v="24"/>
    <s v="No"/>
    <s v="No"/>
    <x v="1"/>
    <x v="1"/>
    <n v="2026"/>
    <s v="Mar"/>
    <s v="26-30"/>
    <s v="&lt;40K"/>
  </r>
  <r>
    <s v="E0371"/>
    <x v="1"/>
    <x v="14"/>
    <x v="3"/>
    <x v="4"/>
    <s v="Manager"/>
    <n v="107499"/>
    <x v="352"/>
    <s v="Master's"/>
    <x v="7"/>
    <s v="Married"/>
    <n v="12"/>
    <n v="5"/>
    <n v="3"/>
    <s v="Average"/>
    <s v="No"/>
    <n v="175"/>
    <n v="7"/>
    <n v="2"/>
    <s v="No"/>
    <s v="Yes"/>
    <x v="1"/>
    <x v="1"/>
    <n v="2020"/>
    <s v="Dec"/>
    <s v="31-35"/>
    <s v="90K-130K"/>
  </r>
  <r>
    <s v="E0372"/>
    <x v="0"/>
    <x v="0"/>
    <x v="7"/>
    <x v="8"/>
    <s v="Senior"/>
    <n v="76059"/>
    <x v="353"/>
    <s v="MBA"/>
    <x v="3"/>
    <s v="Divorced"/>
    <n v="5"/>
    <n v="5"/>
    <n v="4"/>
    <s v="Low"/>
    <s v="No"/>
    <n v="183"/>
    <n v="6"/>
    <n v="24"/>
    <s v="No"/>
    <s v="No"/>
    <x v="0"/>
    <x v="0"/>
    <n v="2023"/>
    <s v="Jul"/>
    <s v="31-35"/>
    <s v="60K-90K"/>
  </r>
  <r>
    <s v="E0373"/>
    <x v="1"/>
    <x v="3"/>
    <x v="7"/>
    <x v="17"/>
    <s v="Junior"/>
    <n v="35355"/>
    <x v="354"/>
    <s v="Master's"/>
    <x v="0"/>
    <s v="Married"/>
    <n v="1"/>
    <n v="3"/>
    <n v="3"/>
    <s v="Average"/>
    <s v="No"/>
    <n v="213"/>
    <n v="58"/>
    <n v="7"/>
    <s v="No"/>
    <s v="No"/>
    <x v="1"/>
    <x v="1"/>
    <n v="2021"/>
    <s v="Feb"/>
    <s v="41-50"/>
    <s v="&lt;40K"/>
  </r>
  <r>
    <s v="E0374"/>
    <x v="0"/>
    <x v="21"/>
    <x v="5"/>
    <x v="6"/>
    <s v="Mid-Level"/>
    <n v="62240"/>
    <x v="355"/>
    <s v="PhD"/>
    <x v="3"/>
    <s v="Married"/>
    <n v="5"/>
    <n v="3"/>
    <n v="5"/>
    <s v="Excellent"/>
    <s v="No"/>
    <n v="232"/>
    <n v="32"/>
    <n v="24"/>
    <s v="No"/>
    <s v="No"/>
    <x v="0"/>
    <x v="0"/>
    <n v="2021"/>
    <s v="Oct"/>
    <s v="36-40"/>
    <s v="60K-90K"/>
  </r>
  <r>
    <s v="E0375"/>
    <x v="1"/>
    <x v="25"/>
    <x v="5"/>
    <x v="28"/>
    <s v="Junior"/>
    <n v="29925"/>
    <x v="356"/>
    <s v="Diploma"/>
    <x v="7"/>
    <s v="Married"/>
    <n v="0"/>
    <n v="2"/>
    <n v="4"/>
    <s v="Excellent"/>
    <s v="No"/>
    <n v="227"/>
    <n v="52"/>
    <n v="6"/>
    <s v="No"/>
    <s v="Yes"/>
    <x v="0"/>
    <x v="0"/>
    <n v="2022"/>
    <s v="Sep"/>
    <s v="41-50"/>
    <s v="&lt;40K"/>
  </r>
  <r>
    <s v="E0376"/>
    <x v="0"/>
    <x v="19"/>
    <x v="6"/>
    <x v="22"/>
    <s v="Mid-Level"/>
    <n v="58506"/>
    <x v="357"/>
    <s v="Bachelor's"/>
    <x v="4"/>
    <s v="Single"/>
    <n v="5"/>
    <n v="4"/>
    <n v="2"/>
    <s v="Average"/>
    <s v="Yes"/>
    <n v="190"/>
    <n v="68"/>
    <n v="29"/>
    <s v="No"/>
    <s v="No"/>
    <x v="0"/>
    <x v="0"/>
    <n v="2022"/>
    <s v="Oct"/>
    <s v="26-30"/>
    <s v="40K-60K"/>
  </r>
  <r>
    <s v="E0377"/>
    <x v="1"/>
    <x v="21"/>
    <x v="4"/>
    <x v="5"/>
    <s v="Senior"/>
    <n v="105169"/>
    <x v="358"/>
    <s v="Master's"/>
    <x v="6"/>
    <s v="Single"/>
    <n v="9"/>
    <n v="3"/>
    <n v="4"/>
    <s v="Average"/>
    <s v="Yes"/>
    <n v="190"/>
    <n v="24"/>
    <n v="3"/>
    <s v="Yes"/>
    <s v="No"/>
    <x v="1"/>
    <x v="1"/>
    <n v="2024"/>
    <s v="Oct"/>
    <s v="36-40"/>
    <s v="90K-130K"/>
  </r>
  <r>
    <s v="E0378"/>
    <x v="0"/>
    <x v="8"/>
    <x v="7"/>
    <x v="20"/>
    <s v="Mid-Level"/>
    <n v="65132"/>
    <x v="359"/>
    <s v="Diploma"/>
    <x v="6"/>
    <s v="Married"/>
    <n v="5"/>
    <n v="1"/>
    <n v="4"/>
    <s v="Excellent"/>
    <s v="Yes"/>
    <n v="206"/>
    <n v="19"/>
    <n v="29"/>
    <s v="No"/>
    <s v="No"/>
    <x v="1"/>
    <x v="1"/>
    <n v="2023"/>
    <s v="Nov"/>
    <s v="31-35"/>
    <s v="60K-90K"/>
  </r>
  <r>
    <s v="E0379"/>
    <x v="0"/>
    <x v="25"/>
    <x v="3"/>
    <x v="15"/>
    <s v="Mid-Level"/>
    <n v="51309"/>
    <x v="360"/>
    <s v="Bachelor's"/>
    <x v="3"/>
    <s v="Married"/>
    <n v="3"/>
    <n v="5"/>
    <n v="3"/>
    <s v="Low"/>
    <s v="No"/>
    <n v="234"/>
    <n v="36"/>
    <n v="26"/>
    <s v="No"/>
    <s v="No"/>
    <x v="1"/>
    <x v="1"/>
    <n v="2020"/>
    <s v="Nov"/>
    <s v="41-50"/>
    <s v="40K-60K"/>
  </r>
  <r>
    <s v="E0380"/>
    <x v="1"/>
    <x v="19"/>
    <x v="0"/>
    <x v="0"/>
    <s v="Junior"/>
    <n v="40916"/>
    <x v="336"/>
    <s v="PhD"/>
    <x v="6"/>
    <s v="Divorced"/>
    <n v="2"/>
    <n v="1"/>
    <n v="3"/>
    <s v="Good"/>
    <s v="Yes"/>
    <n v="153"/>
    <n v="5"/>
    <n v="12"/>
    <s v="Yes"/>
    <s v="Yes"/>
    <x v="1"/>
    <x v="2"/>
    <n v="2025"/>
    <s v="Aug"/>
    <s v="26-30"/>
    <s v="40K-60K"/>
  </r>
  <r>
    <s v="E0381"/>
    <x v="1"/>
    <x v="19"/>
    <x v="6"/>
    <x v="26"/>
    <s v="Junior"/>
    <n v="37271"/>
    <x v="361"/>
    <s v="Master's"/>
    <x v="0"/>
    <s v="Married"/>
    <n v="2"/>
    <n v="1"/>
    <n v="5"/>
    <s v="Low"/>
    <s v="No"/>
    <n v="198"/>
    <n v="7"/>
    <n v="29"/>
    <s v="Yes"/>
    <s v="Yes"/>
    <x v="1"/>
    <x v="1"/>
    <n v="2019"/>
    <s v="Aug"/>
    <s v="26-30"/>
    <s v="&lt;40K"/>
  </r>
  <r>
    <s v="E0382"/>
    <x v="1"/>
    <x v="16"/>
    <x v="4"/>
    <x v="5"/>
    <s v="Mid-Level"/>
    <n v="45951"/>
    <x v="362"/>
    <s v="Bachelor's"/>
    <x v="4"/>
    <s v="Divorced"/>
    <n v="4"/>
    <n v="4"/>
    <n v="3"/>
    <s v="Average"/>
    <s v="No"/>
    <n v="227"/>
    <n v="67"/>
    <n v="16"/>
    <s v="No"/>
    <s v="No"/>
    <x v="1"/>
    <x v="2"/>
    <n v="2024"/>
    <s v="Jul"/>
    <s v="26-30"/>
    <s v="40K-60K"/>
  </r>
  <r>
    <s v="E0383"/>
    <x v="1"/>
    <x v="9"/>
    <x v="4"/>
    <x v="27"/>
    <s v="Manager"/>
    <n v="138265"/>
    <x v="363"/>
    <s v="Master's"/>
    <x v="3"/>
    <s v="Married"/>
    <n v="17"/>
    <n v="4"/>
    <n v="4"/>
    <s v="Low"/>
    <s v="Yes"/>
    <n v="155"/>
    <n v="42"/>
    <n v="16"/>
    <s v="No"/>
    <s v="No"/>
    <x v="1"/>
    <x v="1"/>
    <n v="2021"/>
    <s v="Feb"/>
    <s v="21-25"/>
    <s v="130K+"/>
  </r>
  <r>
    <s v="E0384"/>
    <x v="1"/>
    <x v="7"/>
    <x v="5"/>
    <x v="13"/>
    <s v="Mid-Level"/>
    <n v="64423"/>
    <x v="244"/>
    <s v="Bachelor's"/>
    <x v="1"/>
    <s v="Divorced"/>
    <n v="4"/>
    <n v="5"/>
    <n v="4"/>
    <s v="Excellent"/>
    <s v="No"/>
    <n v="222"/>
    <n v="57"/>
    <n v="5"/>
    <s v="No"/>
    <s v="Yes"/>
    <x v="1"/>
    <x v="1"/>
    <n v="2021"/>
    <s v="Oct"/>
    <s v="26-30"/>
    <s v="60K-90K"/>
  </r>
  <r>
    <s v="E0385"/>
    <x v="1"/>
    <x v="19"/>
    <x v="5"/>
    <x v="28"/>
    <s v="Junior"/>
    <n v="31733"/>
    <x v="364"/>
    <s v="MBA"/>
    <x v="4"/>
    <s v="Divorced"/>
    <n v="3"/>
    <n v="2"/>
    <n v="4"/>
    <s v="Excellent"/>
    <s v="Yes"/>
    <n v="160"/>
    <n v="62"/>
    <n v="21"/>
    <s v="No"/>
    <s v="No"/>
    <x v="1"/>
    <x v="1"/>
    <n v="2021"/>
    <s v="Jan"/>
    <s v="26-30"/>
    <s v="&lt;40K"/>
  </r>
  <r>
    <s v="E0386"/>
    <x v="0"/>
    <x v="8"/>
    <x v="1"/>
    <x v="14"/>
    <s v="Junior"/>
    <n v="36497"/>
    <x v="365"/>
    <s v="PhD"/>
    <x v="6"/>
    <s v="Divorced"/>
    <n v="0"/>
    <n v="5"/>
    <n v="1"/>
    <s v="Excellent"/>
    <s v="Yes"/>
    <n v="200"/>
    <n v="67"/>
    <n v="11"/>
    <s v="No"/>
    <s v="Yes"/>
    <x v="0"/>
    <x v="0"/>
    <n v="2023"/>
    <s v="Nov"/>
    <s v="31-35"/>
    <s v="&lt;40K"/>
  </r>
  <r>
    <s v="E0387"/>
    <x v="1"/>
    <x v="11"/>
    <x v="4"/>
    <x v="5"/>
    <s v="Junior"/>
    <n v="32098"/>
    <x v="146"/>
    <s v="Master's"/>
    <x v="6"/>
    <s v="Divorced"/>
    <n v="1"/>
    <n v="2"/>
    <n v="1"/>
    <s v="Average"/>
    <s v="Yes"/>
    <n v="239"/>
    <n v="35"/>
    <n v="15"/>
    <s v="No"/>
    <s v="No"/>
    <x v="1"/>
    <x v="1"/>
    <n v="2019"/>
    <s v="Feb"/>
    <s v="31-35"/>
    <s v="&lt;40K"/>
  </r>
  <r>
    <s v="E0388"/>
    <x v="0"/>
    <x v="23"/>
    <x v="5"/>
    <x v="25"/>
    <s v="Mid-Level"/>
    <n v="57531"/>
    <x v="366"/>
    <s v="PhD"/>
    <x v="5"/>
    <s v="Married"/>
    <n v="5"/>
    <n v="1"/>
    <n v="2"/>
    <s v="Average"/>
    <s v="Yes"/>
    <n v="244"/>
    <n v="30"/>
    <n v="11"/>
    <s v="No"/>
    <s v="No"/>
    <x v="1"/>
    <x v="2"/>
    <n v="2019"/>
    <s v="Mar"/>
    <s v="41-50"/>
    <s v="40K-60K"/>
  </r>
  <r>
    <s v="E0389"/>
    <x v="0"/>
    <x v="21"/>
    <x v="3"/>
    <x v="15"/>
    <s v="Junior"/>
    <n v="42148"/>
    <x v="367"/>
    <s v="PhD"/>
    <x v="6"/>
    <s v="Divorced"/>
    <n v="3"/>
    <n v="5"/>
    <n v="5"/>
    <s v="Excellent"/>
    <s v="No"/>
    <n v="220"/>
    <n v="34"/>
    <n v="24"/>
    <s v="Yes"/>
    <s v="No"/>
    <x v="0"/>
    <x v="0"/>
    <n v="2024"/>
    <s v="Jul"/>
    <s v="36-40"/>
    <s v="40K-60K"/>
  </r>
  <r>
    <s v="E0390"/>
    <x v="0"/>
    <x v="16"/>
    <x v="4"/>
    <x v="5"/>
    <s v="Junior"/>
    <n v="36776"/>
    <x v="368"/>
    <s v="PhD"/>
    <x v="5"/>
    <s v="Single"/>
    <n v="3"/>
    <n v="1"/>
    <n v="4"/>
    <s v="Good"/>
    <s v="No"/>
    <n v="232"/>
    <n v="29"/>
    <n v="17"/>
    <s v="No"/>
    <s v="No"/>
    <x v="1"/>
    <x v="2"/>
    <n v="2024"/>
    <s v="Apr"/>
    <s v="26-30"/>
    <s v="&lt;40K"/>
  </r>
  <r>
    <s v="E0391"/>
    <x v="0"/>
    <x v="12"/>
    <x v="1"/>
    <x v="11"/>
    <s v="Manager"/>
    <n v="107191"/>
    <x v="369"/>
    <s v="MBA"/>
    <x v="1"/>
    <s v="Divorced"/>
    <n v="12"/>
    <n v="4"/>
    <n v="3"/>
    <s v="Excellent"/>
    <s v="No"/>
    <n v="252"/>
    <n v="21"/>
    <n v="7"/>
    <s v="Yes"/>
    <s v="No"/>
    <x v="1"/>
    <x v="1"/>
    <n v="2023"/>
    <s v="May"/>
    <s v="21-25"/>
    <s v="90K-130K"/>
  </r>
  <r>
    <s v="E0392"/>
    <x v="1"/>
    <x v="0"/>
    <x v="2"/>
    <x v="2"/>
    <s v="Manager"/>
    <n v="129800"/>
    <x v="370"/>
    <s v="Master's"/>
    <x v="3"/>
    <s v="Divorced"/>
    <n v="11"/>
    <n v="5"/>
    <n v="1"/>
    <s v="Low"/>
    <s v="Yes"/>
    <n v="195"/>
    <n v="13"/>
    <n v="12"/>
    <s v="No"/>
    <s v="No"/>
    <x v="1"/>
    <x v="1"/>
    <n v="2021"/>
    <s v="May"/>
    <s v="31-35"/>
    <s v="90K-130K"/>
  </r>
  <r>
    <s v="E0393"/>
    <x v="0"/>
    <x v="13"/>
    <x v="2"/>
    <x v="12"/>
    <s v="Manager"/>
    <n v="123793"/>
    <x v="371"/>
    <s v="PhD"/>
    <x v="6"/>
    <s v="Single"/>
    <n v="13"/>
    <n v="1"/>
    <n v="5"/>
    <s v="Low"/>
    <s v="No"/>
    <n v="169"/>
    <n v="18"/>
    <n v="28"/>
    <s v="No"/>
    <s v="Yes"/>
    <x v="1"/>
    <x v="1"/>
    <n v="2022"/>
    <s v="Dec"/>
    <s v="21-25"/>
    <s v="90K-130K"/>
  </r>
  <r>
    <s v="E0394"/>
    <x v="0"/>
    <x v="18"/>
    <x v="6"/>
    <x v="7"/>
    <s v="Mid-Level"/>
    <n v="53850"/>
    <x v="372"/>
    <s v="MBA"/>
    <x v="4"/>
    <s v="Single"/>
    <n v="3"/>
    <n v="4"/>
    <n v="5"/>
    <s v="Low"/>
    <s v="No"/>
    <n v="243"/>
    <n v="30"/>
    <n v="16"/>
    <s v="No"/>
    <s v="Yes"/>
    <x v="1"/>
    <x v="1"/>
    <n v="2022"/>
    <s v="Apr"/>
    <s v="41-50"/>
    <s v="40K-60K"/>
  </r>
  <r>
    <s v="E0395"/>
    <x v="0"/>
    <x v="26"/>
    <x v="7"/>
    <x v="20"/>
    <s v="Senior"/>
    <n v="98097"/>
    <x v="373"/>
    <s v="Master's"/>
    <x v="3"/>
    <s v="Divorced"/>
    <n v="7"/>
    <n v="3"/>
    <n v="3"/>
    <s v="Excellent"/>
    <s v="No"/>
    <n v="246"/>
    <n v="34"/>
    <n v="6"/>
    <s v="No"/>
    <s v="No"/>
    <x v="1"/>
    <x v="2"/>
    <n v="2019"/>
    <s v="Dec"/>
    <s v="36-40"/>
    <s v="90K-130K"/>
  </r>
  <r>
    <s v="E0396"/>
    <x v="1"/>
    <x v="7"/>
    <x v="7"/>
    <x v="20"/>
    <s v="Junior"/>
    <n v="42502"/>
    <x v="374"/>
    <s v="Master's"/>
    <x v="7"/>
    <s v="Single"/>
    <n v="1"/>
    <n v="5"/>
    <n v="1"/>
    <s v="Excellent"/>
    <s v="Yes"/>
    <n v="193"/>
    <n v="9"/>
    <n v="23"/>
    <s v="No"/>
    <s v="No"/>
    <x v="1"/>
    <x v="1"/>
    <n v="2019"/>
    <s v="Feb"/>
    <s v="26-30"/>
    <s v="40K-60K"/>
  </r>
  <r>
    <s v="E0397"/>
    <x v="0"/>
    <x v="9"/>
    <x v="5"/>
    <x v="25"/>
    <s v="Manager"/>
    <n v="129888"/>
    <x v="375"/>
    <s v="PhD"/>
    <x v="0"/>
    <s v="Divorced"/>
    <n v="19"/>
    <n v="3"/>
    <n v="1"/>
    <s v="Excellent"/>
    <s v="No"/>
    <n v="217"/>
    <n v="49"/>
    <n v="30"/>
    <s v="No"/>
    <s v="No"/>
    <x v="1"/>
    <x v="2"/>
    <n v="2022"/>
    <s v="Jul"/>
    <s v="21-25"/>
    <s v="90K-130K"/>
  </r>
  <r>
    <s v="E0398"/>
    <x v="0"/>
    <x v="22"/>
    <x v="5"/>
    <x v="28"/>
    <s v="Junior"/>
    <n v="38960"/>
    <x v="376"/>
    <s v="MBA"/>
    <x v="4"/>
    <s v="Divorced"/>
    <n v="3"/>
    <n v="5"/>
    <n v="5"/>
    <s v="Average"/>
    <s v="No"/>
    <n v="177"/>
    <n v="7"/>
    <n v="2"/>
    <s v="No"/>
    <s v="Yes"/>
    <x v="1"/>
    <x v="1"/>
    <n v="2020"/>
    <s v="May"/>
    <s v="41-50"/>
    <s v="&lt;40K"/>
  </r>
  <r>
    <s v="E0399"/>
    <x v="0"/>
    <x v="1"/>
    <x v="5"/>
    <x v="25"/>
    <s v="Junior"/>
    <n v="29964"/>
    <x v="377"/>
    <s v="Diploma"/>
    <x v="5"/>
    <s v="Married"/>
    <n v="2"/>
    <n v="5"/>
    <n v="3"/>
    <s v="Good"/>
    <s v="Yes"/>
    <n v="156"/>
    <n v="35"/>
    <n v="27"/>
    <s v="No"/>
    <s v="Yes"/>
    <x v="1"/>
    <x v="1"/>
    <n v="2021"/>
    <s v="Nov"/>
    <s v="31-35"/>
    <s v="&lt;40K"/>
  </r>
  <r>
    <s v="E0400"/>
    <x v="1"/>
    <x v="26"/>
    <x v="5"/>
    <x v="6"/>
    <s v="Mid-Level"/>
    <n v="65407"/>
    <x v="378"/>
    <s v="MBA"/>
    <x v="6"/>
    <s v="Single"/>
    <n v="5"/>
    <n v="2"/>
    <n v="1"/>
    <s v="Average"/>
    <s v="No"/>
    <n v="216"/>
    <n v="59"/>
    <n v="28"/>
    <s v="No"/>
    <s v="No"/>
    <x v="1"/>
    <x v="1"/>
    <n v="2024"/>
    <s v="Oct"/>
    <s v="36-40"/>
    <s v="60K-90K"/>
  </r>
  <r>
    <s v="E0401"/>
    <x v="0"/>
    <x v="9"/>
    <x v="0"/>
    <x v="16"/>
    <s v="Mid-Level"/>
    <n v="57605"/>
    <x v="379"/>
    <s v="Diploma"/>
    <x v="7"/>
    <s v="Married"/>
    <n v="3"/>
    <n v="1"/>
    <n v="3"/>
    <s v="Excellent"/>
    <s v="No"/>
    <n v="217"/>
    <n v="59"/>
    <n v="16"/>
    <s v="No"/>
    <s v="No"/>
    <x v="1"/>
    <x v="2"/>
    <n v="2024"/>
    <s v="Jan"/>
    <s v="21-25"/>
    <s v="40K-60K"/>
  </r>
  <r>
    <s v="E0402"/>
    <x v="1"/>
    <x v="16"/>
    <x v="6"/>
    <x v="26"/>
    <s v="Mid-Level"/>
    <n v="57884"/>
    <x v="380"/>
    <s v="Bachelor's"/>
    <x v="3"/>
    <s v="Divorced"/>
    <n v="7"/>
    <n v="2"/>
    <n v="5"/>
    <s v="Good"/>
    <s v="No"/>
    <n v="165"/>
    <n v="20"/>
    <n v="21"/>
    <s v="No"/>
    <s v="No"/>
    <x v="1"/>
    <x v="1"/>
    <n v="2024"/>
    <s v="Feb"/>
    <s v="26-30"/>
    <s v="40K-60K"/>
  </r>
  <r>
    <s v="E0403"/>
    <x v="0"/>
    <x v="14"/>
    <x v="3"/>
    <x v="3"/>
    <s v="Junior"/>
    <n v="33023"/>
    <x v="381"/>
    <s v="Master's"/>
    <x v="3"/>
    <s v="Divorced"/>
    <n v="0"/>
    <n v="3"/>
    <n v="3"/>
    <s v="Excellent"/>
    <s v="No"/>
    <n v="187"/>
    <n v="11"/>
    <n v="30"/>
    <s v="No"/>
    <s v="No"/>
    <x v="0"/>
    <x v="0"/>
    <n v="2023"/>
    <s v="Mar"/>
    <s v="31-35"/>
    <s v="&lt;40K"/>
  </r>
  <r>
    <s v="E0404"/>
    <x v="1"/>
    <x v="14"/>
    <x v="1"/>
    <x v="14"/>
    <s v="Manager"/>
    <n v="90273"/>
    <x v="382"/>
    <s v="Diploma"/>
    <x v="6"/>
    <s v="Married"/>
    <n v="9"/>
    <n v="3"/>
    <n v="1"/>
    <s v="Excellent"/>
    <s v="Yes"/>
    <n v="203"/>
    <n v="65"/>
    <n v="28"/>
    <s v="No"/>
    <s v="No"/>
    <x v="1"/>
    <x v="1"/>
    <n v="2025"/>
    <s v="Feb"/>
    <s v="31-35"/>
    <s v="90K-130K"/>
  </r>
  <r>
    <s v="E0405"/>
    <x v="0"/>
    <x v="7"/>
    <x v="7"/>
    <x v="17"/>
    <s v="Manager"/>
    <n v="109527"/>
    <x v="238"/>
    <s v="PhD"/>
    <x v="4"/>
    <s v="Divorced"/>
    <n v="19"/>
    <n v="1"/>
    <n v="5"/>
    <s v="Low"/>
    <s v="No"/>
    <n v="229"/>
    <n v="61"/>
    <n v="25"/>
    <s v="No"/>
    <s v="No"/>
    <x v="1"/>
    <x v="1"/>
    <n v="2022"/>
    <s v="Aug"/>
    <s v="26-30"/>
    <s v="90K-130K"/>
  </r>
  <r>
    <s v="E0406"/>
    <x v="0"/>
    <x v="2"/>
    <x v="0"/>
    <x v="0"/>
    <s v="Junior"/>
    <n v="30790"/>
    <x v="383"/>
    <s v="Diploma"/>
    <x v="5"/>
    <s v="Single"/>
    <n v="1"/>
    <n v="5"/>
    <n v="5"/>
    <s v="Average"/>
    <s v="Yes"/>
    <n v="222"/>
    <n v="7"/>
    <n v="10"/>
    <s v="Yes"/>
    <s v="No"/>
    <x v="1"/>
    <x v="1"/>
    <n v="2025"/>
    <s v="Dec"/>
    <s v="36-40"/>
    <s v="&lt;40K"/>
  </r>
  <r>
    <s v="E0407"/>
    <x v="1"/>
    <x v="10"/>
    <x v="2"/>
    <x v="30"/>
    <s v="Manager"/>
    <n v="95896"/>
    <x v="384"/>
    <s v="MBA"/>
    <x v="7"/>
    <s v="Married"/>
    <n v="15"/>
    <n v="3"/>
    <n v="4"/>
    <s v="Low"/>
    <s v="Yes"/>
    <n v="203"/>
    <n v="19"/>
    <n v="5"/>
    <s v="No"/>
    <s v="Yes"/>
    <x v="1"/>
    <x v="1"/>
    <n v="2019"/>
    <s v="Apr"/>
    <s v="21-25"/>
    <s v="90K-130K"/>
  </r>
  <r>
    <s v="E0408"/>
    <x v="1"/>
    <x v="1"/>
    <x v="6"/>
    <x v="26"/>
    <s v="Senior"/>
    <n v="70873"/>
    <x v="106"/>
    <s v="Bachelor's"/>
    <x v="2"/>
    <s v="Married"/>
    <n v="7"/>
    <n v="4"/>
    <n v="2"/>
    <s v="Low"/>
    <s v="Yes"/>
    <n v="228"/>
    <n v="45"/>
    <n v="6"/>
    <s v="No"/>
    <s v="No"/>
    <x v="0"/>
    <x v="0"/>
    <n v="2022"/>
    <s v="Jun"/>
    <s v="31-35"/>
    <s v="60K-90K"/>
  </r>
  <r>
    <s v="E0409"/>
    <x v="1"/>
    <x v="14"/>
    <x v="5"/>
    <x v="25"/>
    <s v="Junior"/>
    <n v="29699"/>
    <x v="385"/>
    <s v="MBA"/>
    <x v="5"/>
    <s v="Married"/>
    <n v="1"/>
    <n v="5"/>
    <n v="5"/>
    <s v="Excellent"/>
    <s v="Yes"/>
    <n v="213"/>
    <n v="75"/>
    <n v="15"/>
    <s v="Yes"/>
    <s v="No"/>
    <x v="1"/>
    <x v="2"/>
    <n v="2021"/>
    <s v="Sep"/>
    <s v="31-35"/>
    <s v="&lt;40K"/>
  </r>
  <r>
    <s v="E0410"/>
    <x v="0"/>
    <x v="0"/>
    <x v="4"/>
    <x v="19"/>
    <s v="Junior"/>
    <n v="36819"/>
    <x v="211"/>
    <s v="Diploma"/>
    <x v="0"/>
    <s v="Single"/>
    <n v="0"/>
    <n v="5"/>
    <n v="2"/>
    <s v="Good"/>
    <s v="No"/>
    <n v="222"/>
    <n v="74"/>
    <n v="7"/>
    <s v="Yes"/>
    <s v="No"/>
    <x v="1"/>
    <x v="2"/>
    <n v="2021"/>
    <s v="Oct"/>
    <s v="31-35"/>
    <s v="&lt;40K"/>
  </r>
  <r>
    <s v="E0411"/>
    <x v="1"/>
    <x v="2"/>
    <x v="0"/>
    <x v="10"/>
    <s v="Manager"/>
    <n v="127912"/>
    <x v="386"/>
    <s v="PhD"/>
    <x v="4"/>
    <s v="Divorced"/>
    <n v="18"/>
    <n v="1"/>
    <n v="1"/>
    <s v="Average"/>
    <s v="No"/>
    <n v="184"/>
    <n v="79"/>
    <n v="28"/>
    <s v="No"/>
    <s v="No"/>
    <x v="1"/>
    <x v="1"/>
    <n v="2020"/>
    <s v="Nov"/>
    <s v="36-40"/>
    <s v="90K-130K"/>
  </r>
  <r>
    <s v="E0412"/>
    <x v="0"/>
    <x v="10"/>
    <x v="6"/>
    <x v="7"/>
    <s v="Senior"/>
    <n v="70879"/>
    <x v="387"/>
    <s v="MBA"/>
    <x v="4"/>
    <s v="Divorced"/>
    <n v="11"/>
    <n v="2"/>
    <n v="5"/>
    <s v="Good"/>
    <s v="No"/>
    <n v="205"/>
    <n v="62"/>
    <n v="10"/>
    <s v="Yes"/>
    <s v="No"/>
    <x v="1"/>
    <x v="1"/>
    <n v="2020"/>
    <s v="May"/>
    <s v="21-25"/>
    <s v="60K-90K"/>
  </r>
  <r>
    <s v="E0413"/>
    <x v="1"/>
    <x v="9"/>
    <x v="1"/>
    <x v="1"/>
    <s v="Senior"/>
    <n v="66040"/>
    <x v="388"/>
    <s v="PhD"/>
    <x v="6"/>
    <s v="Married"/>
    <n v="7"/>
    <n v="1"/>
    <n v="5"/>
    <s v="Low"/>
    <s v="No"/>
    <n v="150"/>
    <n v="14"/>
    <n v="19"/>
    <s v="Yes"/>
    <s v="Yes"/>
    <x v="1"/>
    <x v="2"/>
    <n v="2026"/>
    <s v="Apr"/>
    <s v="21-25"/>
    <s v="60K-90K"/>
  </r>
  <r>
    <s v="E0414"/>
    <x v="0"/>
    <x v="26"/>
    <x v="3"/>
    <x v="4"/>
    <s v="Senior"/>
    <n v="90346"/>
    <x v="389"/>
    <s v="Bachelor's"/>
    <x v="2"/>
    <s v="Divorced"/>
    <n v="7"/>
    <n v="1"/>
    <n v="4"/>
    <s v="Good"/>
    <s v="No"/>
    <n v="174"/>
    <n v="29"/>
    <n v="4"/>
    <s v="No"/>
    <s v="No"/>
    <x v="0"/>
    <x v="0"/>
    <n v="2019"/>
    <s v="Feb"/>
    <s v="36-40"/>
    <s v="90K-130K"/>
  </r>
  <r>
    <s v="E0415"/>
    <x v="1"/>
    <x v="11"/>
    <x v="1"/>
    <x v="14"/>
    <s v="Manager"/>
    <n v="137579"/>
    <x v="390"/>
    <s v="PhD"/>
    <x v="1"/>
    <s v="Married"/>
    <n v="8"/>
    <n v="4"/>
    <n v="5"/>
    <s v="Excellent"/>
    <s v="Yes"/>
    <n v="150"/>
    <n v="26"/>
    <n v="19"/>
    <s v="Yes"/>
    <s v="No"/>
    <x v="1"/>
    <x v="1"/>
    <n v="2022"/>
    <s v="Feb"/>
    <s v="31-35"/>
    <s v="130K+"/>
  </r>
  <r>
    <s v="E0416"/>
    <x v="0"/>
    <x v="19"/>
    <x v="6"/>
    <x v="7"/>
    <s v="Mid-Level"/>
    <n v="50507"/>
    <x v="391"/>
    <s v="Diploma"/>
    <x v="2"/>
    <s v="Divorced"/>
    <n v="6"/>
    <n v="5"/>
    <n v="3"/>
    <s v="Excellent"/>
    <s v="Yes"/>
    <n v="258"/>
    <n v="5"/>
    <n v="15"/>
    <s v="No"/>
    <s v="Yes"/>
    <x v="1"/>
    <x v="1"/>
    <n v="2021"/>
    <s v="Jul"/>
    <s v="26-30"/>
    <s v="40K-60K"/>
  </r>
  <r>
    <s v="E0417"/>
    <x v="1"/>
    <x v="3"/>
    <x v="4"/>
    <x v="18"/>
    <s v="Senior"/>
    <n v="72976"/>
    <x v="392"/>
    <s v="Master's"/>
    <x v="5"/>
    <s v="Married"/>
    <n v="13"/>
    <n v="4"/>
    <n v="3"/>
    <s v="Excellent"/>
    <s v="No"/>
    <n v="247"/>
    <n v="73"/>
    <n v="16"/>
    <s v="No"/>
    <s v="Yes"/>
    <x v="1"/>
    <x v="1"/>
    <n v="2024"/>
    <s v="Mar"/>
    <s v="41-50"/>
    <s v="60K-90K"/>
  </r>
  <r>
    <s v="E0418"/>
    <x v="1"/>
    <x v="14"/>
    <x v="1"/>
    <x v="11"/>
    <s v="Junior"/>
    <n v="28831"/>
    <x v="393"/>
    <s v="Bachelor's"/>
    <x v="5"/>
    <s v="Married"/>
    <n v="1"/>
    <n v="1"/>
    <n v="2"/>
    <s v="Excellent"/>
    <s v="Yes"/>
    <n v="171"/>
    <n v="8"/>
    <n v="20"/>
    <s v="No"/>
    <s v="No"/>
    <x v="1"/>
    <x v="1"/>
    <n v="2023"/>
    <s v="Oct"/>
    <s v="31-35"/>
    <s v="&lt;40K"/>
  </r>
  <r>
    <s v="E0419"/>
    <x v="1"/>
    <x v="26"/>
    <x v="1"/>
    <x v="31"/>
    <s v="Manager"/>
    <n v="121242"/>
    <x v="206"/>
    <s v="PhD"/>
    <x v="1"/>
    <s v="Single"/>
    <n v="13"/>
    <n v="3"/>
    <n v="5"/>
    <s v="Low"/>
    <s v="Yes"/>
    <n v="159"/>
    <n v="9"/>
    <n v="14"/>
    <s v="No"/>
    <s v="No"/>
    <x v="1"/>
    <x v="1"/>
    <n v="2019"/>
    <s v="Aug"/>
    <s v="36-40"/>
    <s v="90K-130K"/>
  </r>
  <r>
    <s v="E0420"/>
    <x v="0"/>
    <x v="14"/>
    <x v="0"/>
    <x v="16"/>
    <s v="Junior"/>
    <n v="37878"/>
    <x v="394"/>
    <s v="PhD"/>
    <x v="1"/>
    <s v="Divorced"/>
    <n v="3"/>
    <n v="1"/>
    <n v="1"/>
    <s v="Excellent"/>
    <s v="No"/>
    <n v="156"/>
    <n v="34"/>
    <n v="29"/>
    <s v="No"/>
    <s v="No"/>
    <x v="1"/>
    <x v="1"/>
    <n v="2019"/>
    <s v="Sep"/>
    <s v="31-35"/>
    <s v="&lt;40K"/>
  </r>
  <r>
    <s v="E0421"/>
    <x v="1"/>
    <x v="30"/>
    <x v="4"/>
    <x v="18"/>
    <s v="Manager"/>
    <n v="103274"/>
    <x v="395"/>
    <s v="Bachelor's"/>
    <x v="1"/>
    <s v="Divorced"/>
    <n v="13"/>
    <n v="1"/>
    <n v="4"/>
    <s v="Average"/>
    <s v="No"/>
    <n v="192"/>
    <n v="78"/>
    <n v="6"/>
    <s v="No"/>
    <s v="No"/>
    <x v="0"/>
    <x v="0"/>
    <n v="2026"/>
    <s v="Apr"/>
    <s v="41-50"/>
    <s v="90K-130K"/>
  </r>
  <r>
    <s v="E0422"/>
    <x v="1"/>
    <x v="18"/>
    <x v="3"/>
    <x v="4"/>
    <s v="Manager"/>
    <n v="148277"/>
    <x v="396"/>
    <s v="Diploma"/>
    <x v="4"/>
    <s v="Married"/>
    <n v="10"/>
    <n v="2"/>
    <n v="1"/>
    <s v="Average"/>
    <s v="Yes"/>
    <n v="166"/>
    <n v="23"/>
    <n v="17"/>
    <s v="No"/>
    <s v="No"/>
    <x v="1"/>
    <x v="1"/>
    <n v="2021"/>
    <s v="Sep"/>
    <s v="41-50"/>
    <s v="130K+"/>
  </r>
  <r>
    <s v="E0423"/>
    <x v="1"/>
    <x v="4"/>
    <x v="3"/>
    <x v="15"/>
    <s v="Mid-Level"/>
    <n v="43878"/>
    <x v="397"/>
    <s v="Master's"/>
    <x v="1"/>
    <s v="Married"/>
    <n v="3"/>
    <n v="5"/>
    <n v="1"/>
    <s v="Average"/>
    <s v="No"/>
    <n v="194"/>
    <n v="65"/>
    <n v="24"/>
    <s v="No"/>
    <s v="No"/>
    <x v="1"/>
    <x v="2"/>
    <n v="2024"/>
    <s v="Sep"/>
    <s v="26-30"/>
    <s v="40K-60K"/>
  </r>
  <r>
    <s v="E0424"/>
    <x v="1"/>
    <x v="21"/>
    <x v="3"/>
    <x v="3"/>
    <s v="Manager"/>
    <n v="133072"/>
    <x v="398"/>
    <s v="Master's"/>
    <x v="6"/>
    <s v="Divorced"/>
    <n v="10"/>
    <n v="4"/>
    <n v="1"/>
    <s v="Average"/>
    <s v="No"/>
    <n v="178"/>
    <n v="35"/>
    <n v="17"/>
    <s v="No"/>
    <s v="Yes"/>
    <x v="1"/>
    <x v="1"/>
    <n v="2020"/>
    <s v="Mar"/>
    <s v="36-40"/>
    <s v="130K+"/>
  </r>
  <r>
    <s v="E0425"/>
    <x v="1"/>
    <x v="2"/>
    <x v="1"/>
    <x v="1"/>
    <s v="Mid-Level"/>
    <n v="69069"/>
    <x v="349"/>
    <s v="PhD"/>
    <x v="0"/>
    <s v="Divorced"/>
    <n v="2"/>
    <n v="1"/>
    <n v="1"/>
    <s v="Good"/>
    <s v="No"/>
    <n v="153"/>
    <n v="10"/>
    <n v="2"/>
    <s v="Yes"/>
    <s v="Yes"/>
    <x v="0"/>
    <x v="0"/>
    <n v="2023"/>
    <s v="Jan"/>
    <s v="36-40"/>
    <s v="60K-90K"/>
  </r>
  <r>
    <s v="E0426"/>
    <x v="0"/>
    <x v="22"/>
    <x v="5"/>
    <x v="13"/>
    <s v="Mid-Level"/>
    <n v="50585"/>
    <x v="399"/>
    <s v="MBA"/>
    <x v="1"/>
    <s v="Single"/>
    <n v="7"/>
    <n v="3"/>
    <n v="5"/>
    <s v="Average"/>
    <s v="Yes"/>
    <n v="172"/>
    <n v="53"/>
    <n v="22"/>
    <s v="Yes"/>
    <s v="No"/>
    <x v="0"/>
    <x v="0"/>
    <n v="2020"/>
    <s v="Dec"/>
    <s v="41-50"/>
    <s v="40K-60K"/>
  </r>
  <r>
    <s v="E0427"/>
    <x v="1"/>
    <x v="12"/>
    <x v="1"/>
    <x v="11"/>
    <s v="Manager"/>
    <n v="121476"/>
    <x v="177"/>
    <s v="Master's"/>
    <x v="0"/>
    <s v="Single"/>
    <n v="13"/>
    <n v="2"/>
    <n v="5"/>
    <s v="Excellent"/>
    <s v="No"/>
    <n v="205"/>
    <n v="52"/>
    <n v="12"/>
    <s v="No"/>
    <s v="Yes"/>
    <x v="0"/>
    <x v="0"/>
    <n v="2023"/>
    <s v="Mar"/>
    <s v="21-25"/>
    <s v="90K-130K"/>
  </r>
  <r>
    <s v="E0428"/>
    <x v="1"/>
    <x v="2"/>
    <x v="1"/>
    <x v="31"/>
    <s v="Mid-Level"/>
    <n v="69998"/>
    <x v="400"/>
    <s v="Diploma"/>
    <x v="6"/>
    <s v="Single"/>
    <n v="6"/>
    <n v="2"/>
    <n v="3"/>
    <s v="Low"/>
    <s v="Yes"/>
    <n v="156"/>
    <n v="65"/>
    <n v="27"/>
    <s v="No"/>
    <s v="No"/>
    <x v="1"/>
    <x v="1"/>
    <n v="2022"/>
    <s v="Apr"/>
    <s v="36-40"/>
    <s v="60K-90K"/>
  </r>
  <r>
    <s v="E0429"/>
    <x v="0"/>
    <x v="20"/>
    <x v="4"/>
    <x v="5"/>
    <s v="Manager"/>
    <n v="158012"/>
    <x v="150"/>
    <s v="PhD"/>
    <x v="6"/>
    <s v="Married"/>
    <n v="15"/>
    <n v="3"/>
    <n v="3"/>
    <s v="Excellent"/>
    <s v="No"/>
    <n v="238"/>
    <n v="79"/>
    <n v="22"/>
    <s v="Yes"/>
    <s v="No"/>
    <x v="1"/>
    <x v="1"/>
    <n v="2021"/>
    <s v="Jan"/>
    <s v="36-40"/>
    <s v="130K+"/>
  </r>
  <r>
    <s v="E0430"/>
    <x v="0"/>
    <x v="9"/>
    <x v="1"/>
    <x v="1"/>
    <s v="Mid-Level"/>
    <n v="54972"/>
    <x v="185"/>
    <s v="Bachelor's"/>
    <x v="3"/>
    <s v="Single"/>
    <n v="3"/>
    <n v="4"/>
    <n v="4"/>
    <s v="Good"/>
    <s v="No"/>
    <n v="170"/>
    <n v="61"/>
    <n v="18"/>
    <s v="No"/>
    <s v="No"/>
    <x v="1"/>
    <x v="1"/>
    <n v="2022"/>
    <s v="Jun"/>
    <s v="21-25"/>
    <s v="40K-60K"/>
  </r>
  <r>
    <s v="E0431"/>
    <x v="0"/>
    <x v="15"/>
    <x v="7"/>
    <x v="20"/>
    <s v="Manager"/>
    <n v="149133"/>
    <x v="401"/>
    <s v="Master's"/>
    <x v="6"/>
    <s v="Single"/>
    <n v="15"/>
    <n v="4"/>
    <n v="3"/>
    <s v="Good"/>
    <s v="No"/>
    <n v="190"/>
    <n v="14"/>
    <n v="13"/>
    <s v="Yes"/>
    <s v="No"/>
    <x v="1"/>
    <x v="1"/>
    <n v="2023"/>
    <s v="Nov"/>
    <s v="21-25"/>
    <s v="130K+"/>
  </r>
  <r>
    <s v="E0432"/>
    <x v="0"/>
    <x v="9"/>
    <x v="5"/>
    <x v="13"/>
    <s v="Junior"/>
    <n v="31885"/>
    <x v="149"/>
    <s v="MBA"/>
    <x v="2"/>
    <s v="Divorced"/>
    <n v="0"/>
    <n v="1"/>
    <n v="5"/>
    <s v="Good"/>
    <s v="Yes"/>
    <n v="192"/>
    <n v="29"/>
    <n v="24"/>
    <s v="No"/>
    <s v="No"/>
    <x v="1"/>
    <x v="1"/>
    <n v="2023"/>
    <s v="Jan"/>
    <s v="21-25"/>
    <s v="&lt;40K"/>
  </r>
  <r>
    <s v="E0433"/>
    <x v="1"/>
    <x v="4"/>
    <x v="0"/>
    <x v="0"/>
    <s v="Senior"/>
    <n v="87716"/>
    <x v="402"/>
    <s v="Master's"/>
    <x v="0"/>
    <s v="Divorced"/>
    <n v="11"/>
    <n v="5"/>
    <n v="1"/>
    <s v="Average"/>
    <s v="No"/>
    <n v="233"/>
    <n v="65"/>
    <n v="9"/>
    <s v="No"/>
    <s v="No"/>
    <x v="1"/>
    <x v="2"/>
    <n v="2023"/>
    <s v="Jul"/>
    <s v="26-30"/>
    <s v="60K-90K"/>
  </r>
  <r>
    <s v="E0434"/>
    <x v="1"/>
    <x v="6"/>
    <x v="3"/>
    <x v="15"/>
    <s v="Senior"/>
    <n v="77310"/>
    <x v="403"/>
    <s v="Diploma"/>
    <x v="3"/>
    <s v="Married"/>
    <n v="11"/>
    <n v="2"/>
    <n v="4"/>
    <s v="Low"/>
    <s v="No"/>
    <n v="259"/>
    <n v="68"/>
    <n v="27"/>
    <s v="No"/>
    <s v="Yes"/>
    <x v="1"/>
    <x v="1"/>
    <n v="2023"/>
    <s v="Sep"/>
    <s v="36-40"/>
    <s v="60K-90K"/>
  </r>
  <r>
    <s v="E0435"/>
    <x v="1"/>
    <x v="3"/>
    <x v="1"/>
    <x v="1"/>
    <s v="Manager"/>
    <n v="142870"/>
    <x v="404"/>
    <s v="Master's"/>
    <x v="4"/>
    <s v="Divorced"/>
    <n v="20"/>
    <n v="3"/>
    <n v="3"/>
    <s v="Excellent"/>
    <s v="No"/>
    <n v="152"/>
    <n v="53"/>
    <n v="8"/>
    <s v="No"/>
    <s v="Yes"/>
    <x v="1"/>
    <x v="1"/>
    <n v="2025"/>
    <s v="Jan"/>
    <s v="41-50"/>
    <s v="130K+"/>
  </r>
  <r>
    <s v="E0436"/>
    <x v="1"/>
    <x v="14"/>
    <x v="1"/>
    <x v="1"/>
    <s v="Junior"/>
    <n v="38775"/>
    <x v="405"/>
    <s v="Diploma"/>
    <x v="6"/>
    <s v="Single"/>
    <n v="3"/>
    <n v="3"/>
    <n v="1"/>
    <s v="Average"/>
    <s v="Yes"/>
    <n v="163"/>
    <n v="30"/>
    <n v="4"/>
    <s v="No"/>
    <s v="No"/>
    <x v="0"/>
    <x v="0"/>
    <n v="2026"/>
    <s v="Mar"/>
    <s v="31-35"/>
    <s v="&lt;40K"/>
  </r>
  <r>
    <s v="E0437"/>
    <x v="1"/>
    <x v="5"/>
    <x v="1"/>
    <x v="14"/>
    <s v="Senior"/>
    <n v="108225"/>
    <x v="406"/>
    <s v="PhD"/>
    <x v="7"/>
    <s v="Single"/>
    <n v="13"/>
    <n v="4"/>
    <n v="1"/>
    <s v="Low"/>
    <s v="No"/>
    <n v="216"/>
    <n v="21"/>
    <n v="19"/>
    <s v="No"/>
    <s v="Yes"/>
    <x v="1"/>
    <x v="2"/>
    <n v="2019"/>
    <s v="Oct"/>
    <s v="41-50"/>
    <s v="90K-130K"/>
  </r>
  <r>
    <s v="E0438"/>
    <x v="0"/>
    <x v="13"/>
    <x v="4"/>
    <x v="19"/>
    <s v="Mid-Level"/>
    <n v="48739"/>
    <x v="134"/>
    <s v="Diploma"/>
    <x v="6"/>
    <s v="Married"/>
    <n v="4"/>
    <n v="4"/>
    <n v="2"/>
    <s v="Average"/>
    <s v="No"/>
    <n v="223"/>
    <n v="5"/>
    <n v="6"/>
    <s v="No"/>
    <s v="No"/>
    <x v="1"/>
    <x v="1"/>
    <n v="2023"/>
    <s v="Nov"/>
    <s v="21-25"/>
    <s v="40K-60K"/>
  </r>
  <r>
    <s v="E0439"/>
    <x v="1"/>
    <x v="9"/>
    <x v="1"/>
    <x v="11"/>
    <s v="Manager"/>
    <n v="150319"/>
    <x v="256"/>
    <s v="MBA"/>
    <x v="7"/>
    <s v="Divorced"/>
    <n v="15"/>
    <n v="1"/>
    <n v="1"/>
    <s v="Average"/>
    <s v="No"/>
    <n v="232"/>
    <n v="58"/>
    <n v="9"/>
    <s v="Yes"/>
    <s v="No"/>
    <x v="1"/>
    <x v="2"/>
    <n v="2025"/>
    <s v="Jun"/>
    <s v="21-25"/>
    <s v="130K+"/>
  </r>
  <r>
    <s v="E0440"/>
    <x v="1"/>
    <x v="1"/>
    <x v="4"/>
    <x v="19"/>
    <s v="Junior"/>
    <n v="40895"/>
    <x v="385"/>
    <s v="Bachelor's"/>
    <x v="0"/>
    <s v="Married"/>
    <n v="0"/>
    <n v="2"/>
    <n v="3"/>
    <s v="Excellent"/>
    <s v="No"/>
    <n v="218"/>
    <n v="75"/>
    <n v="5"/>
    <s v="No"/>
    <s v="No"/>
    <x v="1"/>
    <x v="1"/>
    <n v="2021"/>
    <s v="Sep"/>
    <s v="31-35"/>
    <s v="40K-60K"/>
  </r>
  <r>
    <s v="E0441"/>
    <x v="0"/>
    <x v="11"/>
    <x v="3"/>
    <x v="4"/>
    <s v="Manager"/>
    <n v="111605"/>
    <x v="407"/>
    <s v="PhD"/>
    <x v="7"/>
    <s v="Married"/>
    <n v="12"/>
    <n v="5"/>
    <n v="1"/>
    <s v="Excellent"/>
    <s v="No"/>
    <n v="153"/>
    <n v="29"/>
    <n v="14"/>
    <s v="Yes"/>
    <s v="Yes"/>
    <x v="1"/>
    <x v="1"/>
    <n v="2021"/>
    <s v="Apr"/>
    <s v="31-35"/>
    <s v="90K-130K"/>
  </r>
  <r>
    <s v="E0442"/>
    <x v="1"/>
    <x v="1"/>
    <x v="2"/>
    <x v="12"/>
    <s v="Senior"/>
    <n v="108928"/>
    <x v="408"/>
    <s v="PhD"/>
    <x v="3"/>
    <s v="Married"/>
    <n v="12"/>
    <n v="4"/>
    <n v="1"/>
    <s v="Good"/>
    <s v="Yes"/>
    <n v="220"/>
    <n v="25"/>
    <n v="7"/>
    <s v="Yes"/>
    <s v="No"/>
    <x v="1"/>
    <x v="1"/>
    <n v="2024"/>
    <s v="Jun"/>
    <s v="31-35"/>
    <s v="90K-130K"/>
  </r>
  <r>
    <s v="E0443"/>
    <x v="0"/>
    <x v="9"/>
    <x v="5"/>
    <x v="28"/>
    <s v="Manager"/>
    <n v="112079"/>
    <x v="409"/>
    <s v="Bachelor's"/>
    <x v="0"/>
    <s v="Married"/>
    <n v="9"/>
    <n v="1"/>
    <n v="3"/>
    <s v="Low"/>
    <s v="Yes"/>
    <n v="206"/>
    <n v="71"/>
    <n v="22"/>
    <s v="No"/>
    <s v="No"/>
    <x v="0"/>
    <x v="0"/>
    <n v="2026"/>
    <s v="Jul"/>
    <s v="21-25"/>
    <s v="90K-130K"/>
  </r>
  <r>
    <s v="E0444"/>
    <x v="0"/>
    <x v="1"/>
    <x v="4"/>
    <x v="5"/>
    <s v="Manager"/>
    <n v="96870"/>
    <x v="184"/>
    <s v="Master's"/>
    <x v="1"/>
    <s v="Single"/>
    <n v="17"/>
    <n v="1"/>
    <n v="4"/>
    <s v="Excellent"/>
    <s v="Yes"/>
    <n v="181"/>
    <n v="8"/>
    <n v="2"/>
    <s v="No"/>
    <s v="No"/>
    <x v="1"/>
    <x v="1"/>
    <n v="2019"/>
    <s v="Jan"/>
    <s v="31-35"/>
    <s v="90K-130K"/>
  </r>
  <r>
    <s v="E0445"/>
    <x v="0"/>
    <x v="13"/>
    <x v="1"/>
    <x v="31"/>
    <s v="Mid-Level"/>
    <n v="65724"/>
    <x v="410"/>
    <s v="Master's"/>
    <x v="0"/>
    <s v="Divorced"/>
    <n v="3"/>
    <n v="4"/>
    <n v="5"/>
    <s v="Excellent"/>
    <s v="Yes"/>
    <n v="254"/>
    <n v="59"/>
    <n v="5"/>
    <s v="Yes"/>
    <s v="No"/>
    <x v="1"/>
    <x v="1"/>
    <n v="2019"/>
    <s v="Jun"/>
    <s v="21-25"/>
    <s v="60K-90K"/>
  </r>
  <r>
    <s v="E0446"/>
    <x v="0"/>
    <x v="2"/>
    <x v="3"/>
    <x v="3"/>
    <s v="Mid-Level"/>
    <n v="42491"/>
    <x v="411"/>
    <s v="MBA"/>
    <x v="4"/>
    <s v="Single"/>
    <n v="5"/>
    <n v="3"/>
    <n v="1"/>
    <s v="Low"/>
    <s v="No"/>
    <n v="177"/>
    <n v="32"/>
    <n v="15"/>
    <s v="No"/>
    <s v="No"/>
    <x v="1"/>
    <x v="2"/>
    <n v="2026"/>
    <s v="May"/>
    <s v="36-40"/>
    <s v="40K-60K"/>
  </r>
  <r>
    <s v="E0447"/>
    <x v="0"/>
    <x v="11"/>
    <x v="6"/>
    <x v="22"/>
    <s v="Junior"/>
    <n v="38628"/>
    <x v="412"/>
    <s v="PhD"/>
    <x v="1"/>
    <s v="Married"/>
    <n v="3"/>
    <n v="2"/>
    <n v="3"/>
    <s v="Low"/>
    <s v="Yes"/>
    <n v="231"/>
    <n v="79"/>
    <n v="16"/>
    <s v="No"/>
    <s v="No"/>
    <x v="1"/>
    <x v="1"/>
    <n v="2026"/>
    <s v="Aug"/>
    <s v="31-35"/>
    <s v="&lt;40K"/>
  </r>
  <r>
    <s v="E0448"/>
    <x v="0"/>
    <x v="12"/>
    <x v="1"/>
    <x v="31"/>
    <s v="Junior"/>
    <n v="38120"/>
    <x v="413"/>
    <s v="MBA"/>
    <x v="0"/>
    <s v="Single"/>
    <n v="1"/>
    <n v="2"/>
    <n v="5"/>
    <s v="Excellent"/>
    <s v="Yes"/>
    <n v="157"/>
    <n v="31"/>
    <n v="22"/>
    <s v="Yes"/>
    <s v="No"/>
    <x v="1"/>
    <x v="1"/>
    <n v="2023"/>
    <s v="Oct"/>
    <s v="21-25"/>
    <s v="&lt;40K"/>
  </r>
  <r>
    <s v="E0449"/>
    <x v="1"/>
    <x v="7"/>
    <x v="3"/>
    <x v="21"/>
    <s v="Senior"/>
    <n v="85810"/>
    <x v="414"/>
    <s v="Master's"/>
    <x v="5"/>
    <s v="Divorced"/>
    <n v="5"/>
    <n v="4"/>
    <n v="3"/>
    <s v="Average"/>
    <s v="Yes"/>
    <n v="179"/>
    <n v="33"/>
    <n v="21"/>
    <s v="No"/>
    <s v="No"/>
    <x v="1"/>
    <x v="1"/>
    <n v="2024"/>
    <s v="Nov"/>
    <s v="26-30"/>
    <s v="60K-90K"/>
  </r>
  <r>
    <s v="E0450"/>
    <x v="0"/>
    <x v="10"/>
    <x v="7"/>
    <x v="29"/>
    <s v="Junior"/>
    <n v="44110"/>
    <x v="415"/>
    <s v="Diploma"/>
    <x v="0"/>
    <s v="Single"/>
    <n v="0"/>
    <n v="1"/>
    <n v="2"/>
    <s v="Low"/>
    <s v="Yes"/>
    <n v="166"/>
    <n v="59"/>
    <n v="25"/>
    <s v="No"/>
    <s v="Yes"/>
    <x v="0"/>
    <x v="0"/>
    <n v="2021"/>
    <s v="Feb"/>
    <s v="21-25"/>
    <s v="40K-60K"/>
  </r>
  <r>
    <s v="E0451"/>
    <x v="1"/>
    <x v="1"/>
    <x v="6"/>
    <x v="26"/>
    <s v="Mid-Level"/>
    <n v="55894"/>
    <x v="416"/>
    <s v="Master's"/>
    <x v="2"/>
    <s v="Married"/>
    <n v="3"/>
    <n v="2"/>
    <n v="3"/>
    <s v="Low"/>
    <s v="No"/>
    <n v="223"/>
    <n v="51"/>
    <n v="14"/>
    <s v="No"/>
    <s v="No"/>
    <x v="1"/>
    <x v="1"/>
    <n v="2025"/>
    <s v="Oct"/>
    <s v="31-35"/>
    <s v="40K-60K"/>
  </r>
  <r>
    <s v="E0452"/>
    <x v="1"/>
    <x v="21"/>
    <x v="7"/>
    <x v="17"/>
    <s v="Manager"/>
    <n v="110431"/>
    <x v="417"/>
    <s v="MBA"/>
    <x v="3"/>
    <s v="Divorced"/>
    <n v="20"/>
    <n v="1"/>
    <n v="4"/>
    <s v="Average"/>
    <s v="No"/>
    <n v="259"/>
    <n v="37"/>
    <n v="14"/>
    <s v="No"/>
    <s v="Yes"/>
    <x v="1"/>
    <x v="1"/>
    <n v="2024"/>
    <s v="May"/>
    <s v="36-40"/>
    <s v="90K-130K"/>
  </r>
  <r>
    <s v="E0453"/>
    <x v="1"/>
    <x v="12"/>
    <x v="5"/>
    <x v="25"/>
    <s v="Manager"/>
    <n v="99429"/>
    <x v="418"/>
    <s v="Diploma"/>
    <x v="4"/>
    <s v="Married"/>
    <n v="13"/>
    <n v="4"/>
    <n v="2"/>
    <s v="Excellent"/>
    <s v="Yes"/>
    <n v="174"/>
    <n v="58"/>
    <n v="14"/>
    <s v="No"/>
    <s v="Yes"/>
    <x v="0"/>
    <x v="0"/>
    <n v="2020"/>
    <s v="Jul"/>
    <s v="21-25"/>
    <s v="90K-130K"/>
  </r>
  <r>
    <s v="E0454"/>
    <x v="1"/>
    <x v="0"/>
    <x v="4"/>
    <x v="18"/>
    <s v="Senior"/>
    <n v="107011"/>
    <x v="419"/>
    <s v="PhD"/>
    <x v="2"/>
    <s v="Divorced"/>
    <n v="14"/>
    <n v="4"/>
    <n v="1"/>
    <s v="Good"/>
    <s v="Yes"/>
    <n v="199"/>
    <n v="70"/>
    <n v="24"/>
    <s v="No"/>
    <s v="No"/>
    <x v="0"/>
    <x v="0"/>
    <n v="2019"/>
    <s v="Oct"/>
    <s v="31-35"/>
    <s v="90K-130K"/>
  </r>
  <r>
    <s v="E0455"/>
    <x v="1"/>
    <x v="7"/>
    <x v="0"/>
    <x v="16"/>
    <s v="Manager"/>
    <n v="122347"/>
    <x v="420"/>
    <s v="Master's"/>
    <x v="2"/>
    <s v="Divorced"/>
    <n v="11"/>
    <n v="1"/>
    <n v="3"/>
    <s v="Excellent"/>
    <s v="No"/>
    <n v="240"/>
    <n v="23"/>
    <n v="10"/>
    <s v="Yes"/>
    <s v="Yes"/>
    <x v="1"/>
    <x v="1"/>
    <n v="2024"/>
    <s v="May"/>
    <s v="26-30"/>
    <s v="90K-130K"/>
  </r>
  <r>
    <s v="E0456"/>
    <x v="0"/>
    <x v="19"/>
    <x v="2"/>
    <x v="23"/>
    <s v="Manager"/>
    <n v="142122"/>
    <x v="421"/>
    <s v="MBA"/>
    <x v="2"/>
    <s v="Divorced"/>
    <n v="19"/>
    <n v="1"/>
    <n v="5"/>
    <s v="Excellent"/>
    <s v="Yes"/>
    <n v="204"/>
    <n v="80"/>
    <n v="11"/>
    <s v="No"/>
    <s v="No"/>
    <x v="1"/>
    <x v="2"/>
    <n v="2025"/>
    <s v="Jul"/>
    <s v="26-30"/>
    <s v="130K+"/>
  </r>
  <r>
    <s v="E0457"/>
    <x v="0"/>
    <x v="1"/>
    <x v="2"/>
    <x v="30"/>
    <s v="Mid-Level"/>
    <n v="50815"/>
    <x v="422"/>
    <s v="Bachelor's"/>
    <x v="7"/>
    <s v="Divorced"/>
    <n v="7"/>
    <n v="4"/>
    <n v="3"/>
    <s v="Excellent"/>
    <s v="Yes"/>
    <n v="171"/>
    <n v="41"/>
    <n v="25"/>
    <s v="No"/>
    <s v="No"/>
    <x v="0"/>
    <x v="0"/>
    <n v="2021"/>
    <s v="May"/>
    <s v="31-35"/>
    <s v="40K-60K"/>
  </r>
  <r>
    <s v="E0458"/>
    <x v="0"/>
    <x v="10"/>
    <x v="6"/>
    <x v="22"/>
    <s v="Mid-Level"/>
    <n v="65070"/>
    <x v="423"/>
    <s v="Master's"/>
    <x v="3"/>
    <s v="Single"/>
    <n v="3"/>
    <n v="4"/>
    <n v="2"/>
    <s v="Low"/>
    <s v="No"/>
    <n v="164"/>
    <n v="28"/>
    <n v="27"/>
    <s v="Yes"/>
    <s v="No"/>
    <x v="1"/>
    <x v="1"/>
    <n v="2021"/>
    <s v="Mar"/>
    <s v="21-25"/>
    <s v="60K-90K"/>
  </r>
  <r>
    <s v="E0459"/>
    <x v="1"/>
    <x v="7"/>
    <x v="7"/>
    <x v="29"/>
    <s v="Mid-Level"/>
    <n v="44615"/>
    <x v="424"/>
    <s v="Master's"/>
    <x v="6"/>
    <s v="Married"/>
    <n v="4"/>
    <n v="4"/>
    <n v="1"/>
    <s v="Low"/>
    <s v="No"/>
    <n v="158"/>
    <n v="6"/>
    <n v="3"/>
    <s v="No"/>
    <s v="No"/>
    <x v="0"/>
    <x v="0"/>
    <n v="2019"/>
    <s v="Dec"/>
    <s v="26-30"/>
    <s v="40K-60K"/>
  </r>
  <r>
    <s v="E0460"/>
    <x v="0"/>
    <x v="15"/>
    <x v="0"/>
    <x v="10"/>
    <s v="Mid-Level"/>
    <n v="59115"/>
    <x v="425"/>
    <s v="Diploma"/>
    <x v="7"/>
    <s v="Married"/>
    <n v="2"/>
    <n v="5"/>
    <n v="5"/>
    <s v="Good"/>
    <s v="No"/>
    <n v="212"/>
    <n v="48"/>
    <n v="12"/>
    <s v="Yes"/>
    <s v="No"/>
    <x v="1"/>
    <x v="1"/>
    <n v="2023"/>
    <s v="Mar"/>
    <s v="21-25"/>
    <s v="40K-60K"/>
  </r>
  <r>
    <s v="E0461"/>
    <x v="1"/>
    <x v="23"/>
    <x v="4"/>
    <x v="27"/>
    <s v="Senior"/>
    <n v="86643"/>
    <x v="426"/>
    <s v="Bachelor's"/>
    <x v="2"/>
    <s v="Divorced"/>
    <n v="6"/>
    <n v="4"/>
    <n v="4"/>
    <s v="Average"/>
    <s v="No"/>
    <n v="256"/>
    <n v="52"/>
    <n v="16"/>
    <s v="No"/>
    <s v="No"/>
    <x v="0"/>
    <x v="0"/>
    <n v="2019"/>
    <s v="Jan"/>
    <s v="41-50"/>
    <s v="60K-90K"/>
  </r>
  <r>
    <s v="E0462"/>
    <x v="1"/>
    <x v="14"/>
    <x v="4"/>
    <x v="19"/>
    <s v="Junior"/>
    <n v="38557"/>
    <x v="427"/>
    <s v="PhD"/>
    <x v="7"/>
    <s v="Divorced"/>
    <n v="0"/>
    <n v="3"/>
    <n v="1"/>
    <s v="Low"/>
    <s v="No"/>
    <n v="191"/>
    <n v="49"/>
    <n v="15"/>
    <s v="No"/>
    <s v="No"/>
    <x v="1"/>
    <x v="1"/>
    <n v="2026"/>
    <s v="Feb"/>
    <s v="31-35"/>
    <s v="&lt;40K"/>
  </r>
  <r>
    <s v="E0463"/>
    <x v="1"/>
    <x v="16"/>
    <x v="5"/>
    <x v="13"/>
    <s v="Mid-Level"/>
    <n v="59041"/>
    <x v="428"/>
    <s v="Diploma"/>
    <x v="6"/>
    <s v="Single"/>
    <n v="6"/>
    <n v="1"/>
    <n v="2"/>
    <s v="Excellent"/>
    <s v="No"/>
    <n v="251"/>
    <n v="19"/>
    <n v="17"/>
    <s v="No"/>
    <s v="Yes"/>
    <x v="1"/>
    <x v="1"/>
    <n v="2024"/>
    <s v="Aug"/>
    <s v="26-30"/>
    <s v="40K-60K"/>
  </r>
  <r>
    <s v="E0464"/>
    <x v="0"/>
    <x v="8"/>
    <x v="1"/>
    <x v="14"/>
    <s v="Junior"/>
    <n v="31456"/>
    <x v="332"/>
    <s v="MBA"/>
    <x v="6"/>
    <s v="Divorced"/>
    <n v="3"/>
    <n v="2"/>
    <n v="3"/>
    <s v="Low"/>
    <s v="No"/>
    <n v="248"/>
    <n v="22"/>
    <n v="19"/>
    <s v="No"/>
    <s v="No"/>
    <x v="1"/>
    <x v="2"/>
    <n v="2019"/>
    <s v="Apr"/>
    <s v="31-35"/>
    <s v="&lt;40K"/>
  </r>
  <r>
    <s v="E0465"/>
    <x v="0"/>
    <x v="1"/>
    <x v="3"/>
    <x v="21"/>
    <s v="Junior"/>
    <n v="39246"/>
    <x v="429"/>
    <s v="Bachelor's"/>
    <x v="1"/>
    <s v="Single"/>
    <n v="3"/>
    <n v="5"/>
    <n v="4"/>
    <s v="Good"/>
    <s v="Yes"/>
    <n v="178"/>
    <n v="80"/>
    <n v="8"/>
    <s v="No"/>
    <s v="No"/>
    <x v="0"/>
    <x v="0"/>
    <n v="2023"/>
    <s v="Apr"/>
    <s v="31-35"/>
    <s v="&lt;40K"/>
  </r>
  <r>
    <s v="E0466"/>
    <x v="0"/>
    <x v="4"/>
    <x v="3"/>
    <x v="21"/>
    <s v="Senior"/>
    <n v="89916"/>
    <x v="430"/>
    <s v="PhD"/>
    <x v="4"/>
    <s v="Married"/>
    <n v="14"/>
    <n v="3"/>
    <n v="1"/>
    <s v="Average"/>
    <s v="No"/>
    <n v="218"/>
    <n v="71"/>
    <n v="23"/>
    <s v="No"/>
    <s v="No"/>
    <x v="1"/>
    <x v="1"/>
    <n v="2019"/>
    <s v="Jan"/>
    <s v="26-30"/>
    <s v="60K-90K"/>
  </r>
  <r>
    <s v="E0467"/>
    <x v="0"/>
    <x v="2"/>
    <x v="4"/>
    <x v="27"/>
    <s v="Manager"/>
    <n v="131409"/>
    <x v="431"/>
    <s v="Master's"/>
    <x v="5"/>
    <s v="Divorced"/>
    <n v="10"/>
    <n v="2"/>
    <n v="4"/>
    <s v="Good"/>
    <s v="No"/>
    <n v="208"/>
    <n v="44"/>
    <n v="18"/>
    <s v="No"/>
    <s v="No"/>
    <x v="1"/>
    <x v="1"/>
    <n v="2022"/>
    <s v="Apr"/>
    <s v="36-40"/>
    <s v="130K+"/>
  </r>
  <r>
    <s v="E0468"/>
    <x v="1"/>
    <x v="6"/>
    <x v="7"/>
    <x v="8"/>
    <s v="Manager"/>
    <n v="128206"/>
    <x v="432"/>
    <s v="Master's"/>
    <x v="5"/>
    <s v="Single"/>
    <n v="19"/>
    <n v="1"/>
    <n v="3"/>
    <s v="Excellent"/>
    <s v="Yes"/>
    <n v="255"/>
    <n v="55"/>
    <n v="11"/>
    <s v="No"/>
    <s v="No"/>
    <x v="1"/>
    <x v="1"/>
    <n v="2023"/>
    <s v="Mar"/>
    <s v="36-40"/>
    <s v="90K-130K"/>
  </r>
  <r>
    <s v="E0469"/>
    <x v="0"/>
    <x v="7"/>
    <x v="4"/>
    <x v="5"/>
    <s v="Manager"/>
    <n v="152052"/>
    <x v="433"/>
    <s v="Master's"/>
    <x v="7"/>
    <s v="Single"/>
    <n v="13"/>
    <n v="4"/>
    <n v="1"/>
    <s v="Average"/>
    <s v="No"/>
    <n v="243"/>
    <n v="46"/>
    <n v="26"/>
    <s v="No"/>
    <s v="No"/>
    <x v="1"/>
    <x v="1"/>
    <n v="2023"/>
    <s v="May"/>
    <s v="26-30"/>
    <s v="130K+"/>
  </r>
  <r>
    <s v="E0470"/>
    <x v="1"/>
    <x v="16"/>
    <x v="7"/>
    <x v="8"/>
    <s v="Mid-Level"/>
    <n v="56479"/>
    <x v="434"/>
    <s v="Bachelor's"/>
    <x v="4"/>
    <s v="Divorced"/>
    <n v="7"/>
    <n v="3"/>
    <n v="2"/>
    <s v="Low"/>
    <s v="Yes"/>
    <n v="177"/>
    <n v="23"/>
    <n v="14"/>
    <s v="No"/>
    <s v="No"/>
    <x v="1"/>
    <x v="1"/>
    <n v="2024"/>
    <s v="May"/>
    <s v="26-30"/>
    <s v="40K-60K"/>
  </r>
  <r>
    <s v="E0471"/>
    <x v="0"/>
    <x v="4"/>
    <x v="2"/>
    <x v="30"/>
    <s v="Manager"/>
    <n v="113544"/>
    <x v="435"/>
    <s v="PhD"/>
    <x v="0"/>
    <s v="Single"/>
    <n v="8"/>
    <n v="5"/>
    <n v="3"/>
    <s v="Low"/>
    <s v="No"/>
    <n v="205"/>
    <n v="35"/>
    <n v="14"/>
    <s v="No"/>
    <s v="No"/>
    <x v="1"/>
    <x v="1"/>
    <n v="2020"/>
    <s v="Apr"/>
    <s v="26-30"/>
    <s v="90K-130K"/>
  </r>
  <r>
    <s v="E0472"/>
    <x v="0"/>
    <x v="9"/>
    <x v="4"/>
    <x v="27"/>
    <s v="Manager"/>
    <n v="140082"/>
    <x v="436"/>
    <s v="PhD"/>
    <x v="0"/>
    <s v="Single"/>
    <n v="12"/>
    <n v="4"/>
    <n v="3"/>
    <s v="Excellent"/>
    <s v="Yes"/>
    <n v="165"/>
    <n v="40"/>
    <n v="24"/>
    <s v="No"/>
    <s v="Yes"/>
    <x v="0"/>
    <x v="0"/>
    <n v="2026"/>
    <s v="Feb"/>
    <s v="21-25"/>
    <s v="130K+"/>
  </r>
  <r>
    <s v="E0473"/>
    <x v="0"/>
    <x v="9"/>
    <x v="6"/>
    <x v="24"/>
    <s v="Manager"/>
    <n v="146840"/>
    <x v="437"/>
    <s v="Bachelor's"/>
    <x v="7"/>
    <s v="Divorced"/>
    <n v="12"/>
    <n v="2"/>
    <n v="1"/>
    <s v="Excellent"/>
    <s v="No"/>
    <n v="158"/>
    <n v="13"/>
    <n v="18"/>
    <s v="No"/>
    <s v="No"/>
    <x v="1"/>
    <x v="1"/>
    <n v="2025"/>
    <s v="May"/>
    <s v="21-25"/>
    <s v="130K+"/>
  </r>
  <r>
    <s v="E0474"/>
    <x v="0"/>
    <x v="22"/>
    <x v="2"/>
    <x v="12"/>
    <s v="Mid-Level"/>
    <n v="42174"/>
    <x v="438"/>
    <s v="Bachelor's"/>
    <x v="2"/>
    <s v="Single"/>
    <n v="6"/>
    <n v="3"/>
    <n v="1"/>
    <s v="Low"/>
    <s v="Yes"/>
    <n v="166"/>
    <n v="20"/>
    <n v="18"/>
    <s v="No"/>
    <s v="No"/>
    <x v="1"/>
    <x v="1"/>
    <n v="2024"/>
    <s v="Jan"/>
    <s v="41-50"/>
    <s v="40K-60K"/>
  </r>
  <r>
    <s v="E0475"/>
    <x v="0"/>
    <x v="5"/>
    <x v="4"/>
    <x v="27"/>
    <s v="Mid-Level"/>
    <n v="51850"/>
    <x v="439"/>
    <s v="Diploma"/>
    <x v="4"/>
    <s v="Divorced"/>
    <n v="2"/>
    <n v="3"/>
    <n v="5"/>
    <s v="Average"/>
    <s v="No"/>
    <n v="167"/>
    <n v="17"/>
    <n v="23"/>
    <s v="Yes"/>
    <s v="No"/>
    <x v="1"/>
    <x v="1"/>
    <n v="2024"/>
    <s v="Oct"/>
    <s v="41-50"/>
    <s v="40K-60K"/>
  </r>
  <r>
    <s v="E0476"/>
    <x v="0"/>
    <x v="4"/>
    <x v="1"/>
    <x v="14"/>
    <s v="Senior"/>
    <n v="79104"/>
    <x v="440"/>
    <s v="Diploma"/>
    <x v="7"/>
    <s v="Single"/>
    <n v="7"/>
    <n v="5"/>
    <n v="2"/>
    <s v="Good"/>
    <s v="No"/>
    <n v="195"/>
    <n v="38"/>
    <n v="14"/>
    <s v="No"/>
    <s v="No"/>
    <x v="0"/>
    <x v="0"/>
    <n v="2025"/>
    <s v="Oct"/>
    <s v="26-30"/>
    <s v="60K-90K"/>
  </r>
  <r>
    <s v="E0477"/>
    <x v="0"/>
    <x v="2"/>
    <x v="4"/>
    <x v="18"/>
    <s v="Junior"/>
    <n v="36328"/>
    <x v="441"/>
    <s v="Master's"/>
    <x v="4"/>
    <s v="Divorced"/>
    <n v="3"/>
    <n v="5"/>
    <n v="2"/>
    <s v="Average"/>
    <s v="Yes"/>
    <n v="230"/>
    <n v="58"/>
    <n v="28"/>
    <s v="Yes"/>
    <s v="No"/>
    <x v="1"/>
    <x v="1"/>
    <n v="2020"/>
    <s v="Aug"/>
    <s v="36-40"/>
    <s v="&lt;40K"/>
  </r>
  <r>
    <s v="E0478"/>
    <x v="1"/>
    <x v="11"/>
    <x v="4"/>
    <x v="27"/>
    <s v="Mid-Level"/>
    <n v="44540"/>
    <x v="442"/>
    <s v="Bachelor's"/>
    <x v="4"/>
    <s v="Married"/>
    <n v="4"/>
    <n v="5"/>
    <n v="1"/>
    <s v="Good"/>
    <s v="No"/>
    <n v="220"/>
    <n v="23"/>
    <n v="29"/>
    <s v="Yes"/>
    <s v="No"/>
    <x v="0"/>
    <x v="0"/>
    <n v="2020"/>
    <s v="May"/>
    <s v="31-35"/>
    <s v="40K-60K"/>
  </r>
  <r>
    <s v="E0479"/>
    <x v="1"/>
    <x v="31"/>
    <x v="0"/>
    <x v="10"/>
    <s v="Manager"/>
    <n v="119127"/>
    <x v="443"/>
    <s v="PhD"/>
    <x v="1"/>
    <s v="Divorced"/>
    <n v="14"/>
    <n v="1"/>
    <n v="2"/>
    <s v="Good"/>
    <s v="No"/>
    <n v="243"/>
    <n v="78"/>
    <n v="29"/>
    <s v="No"/>
    <s v="No"/>
    <x v="1"/>
    <x v="1"/>
    <n v="2020"/>
    <s v="Mar"/>
    <s v="51-60"/>
    <s v="90K-130K"/>
  </r>
  <r>
    <s v="E0480"/>
    <x v="0"/>
    <x v="20"/>
    <x v="0"/>
    <x v="9"/>
    <s v="Senior"/>
    <n v="90530"/>
    <x v="444"/>
    <s v="Master's"/>
    <x v="2"/>
    <s v="Single"/>
    <n v="7"/>
    <n v="5"/>
    <n v="5"/>
    <s v="Average"/>
    <s v="No"/>
    <n v="258"/>
    <n v="21"/>
    <n v="6"/>
    <s v="No"/>
    <s v="No"/>
    <x v="1"/>
    <x v="1"/>
    <n v="2022"/>
    <s v="Nov"/>
    <s v="36-40"/>
    <s v="90K-130K"/>
  </r>
  <r>
    <s v="E0481"/>
    <x v="0"/>
    <x v="1"/>
    <x v="3"/>
    <x v="21"/>
    <s v="Manager"/>
    <n v="150003"/>
    <x v="445"/>
    <s v="Diploma"/>
    <x v="0"/>
    <s v="Married"/>
    <n v="10"/>
    <n v="3"/>
    <n v="4"/>
    <s v="Low"/>
    <s v="No"/>
    <n v="186"/>
    <n v="44"/>
    <n v="15"/>
    <s v="No"/>
    <s v="No"/>
    <x v="1"/>
    <x v="1"/>
    <n v="2023"/>
    <s v="Dec"/>
    <s v="31-35"/>
    <s v="130K+"/>
  </r>
  <r>
    <s v="E0482"/>
    <x v="0"/>
    <x v="12"/>
    <x v="2"/>
    <x v="12"/>
    <s v="Junior"/>
    <n v="33410"/>
    <x v="446"/>
    <s v="PhD"/>
    <x v="3"/>
    <s v="Married"/>
    <n v="0"/>
    <n v="3"/>
    <n v="5"/>
    <s v="Excellent"/>
    <s v="No"/>
    <n v="253"/>
    <n v="70"/>
    <n v="23"/>
    <s v="No"/>
    <s v="Yes"/>
    <x v="1"/>
    <x v="1"/>
    <n v="2019"/>
    <s v="Dec"/>
    <s v="21-25"/>
    <s v="&lt;40K"/>
  </r>
  <r>
    <s v="E0483"/>
    <x v="1"/>
    <x v="9"/>
    <x v="0"/>
    <x v="9"/>
    <s v="Junior"/>
    <n v="41925"/>
    <x v="15"/>
    <s v="Diploma"/>
    <x v="0"/>
    <s v="Single"/>
    <n v="2"/>
    <n v="5"/>
    <n v="5"/>
    <s v="Low"/>
    <s v="Yes"/>
    <n v="227"/>
    <n v="51"/>
    <n v="28"/>
    <s v="Yes"/>
    <s v="No"/>
    <x v="1"/>
    <x v="1"/>
    <n v="2021"/>
    <s v="Sep"/>
    <s v="21-25"/>
    <s v="40K-60K"/>
  </r>
  <r>
    <s v="E0484"/>
    <x v="0"/>
    <x v="8"/>
    <x v="4"/>
    <x v="18"/>
    <s v="Manager"/>
    <n v="112345"/>
    <x v="447"/>
    <s v="PhD"/>
    <x v="2"/>
    <s v="Married"/>
    <n v="13"/>
    <n v="3"/>
    <n v="2"/>
    <s v="Average"/>
    <s v="No"/>
    <n v="258"/>
    <n v="5"/>
    <n v="25"/>
    <s v="No"/>
    <s v="Yes"/>
    <x v="1"/>
    <x v="2"/>
    <n v="2020"/>
    <s v="Apr"/>
    <s v="31-35"/>
    <s v="90K-130K"/>
  </r>
  <r>
    <s v="E0485"/>
    <x v="0"/>
    <x v="19"/>
    <x v="5"/>
    <x v="28"/>
    <s v="Manager"/>
    <n v="153998"/>
    <x v="448"/>
    <s v="Bachelor's"/>
    <x v="4"/>
    <s v="Divorced"/>
    <n v="8"/>
    <n v="1"/>
    <n v="5"/>
    <s v="Average"/>
    <s v="No"/>
    <n v="192"/>
    <n v="56"/>
    <n v="13"/>
    <s v="Yes"/>
    <s v="No"/>
    <x v="1"/>
    <x v="1"/>
    <n v="2022"/>
    <s v="Dec"/>
    <s v="26-30"/>
    <s v="130K+"/>
  </r>
  <r>
    <s v="E0486"/>
    <x v="1"/>
    <x v="13"/>
    <x v="7"/>
    <x v="8"/>
    <s v="Junior"/>
    <n v="44853"/>
    <x v="88"/>
    <s v="PhD"/>
    <x v="4"/>
    <s v="Married"/>
    <n v="1"/>
    <n v="1"/>
    <n v="4"/>
    <s v="Good"/>
    <s v="Yes"/>
    <n v="169"/>
    <n v="59"/>
    <n v="30"/>
    <s v="Yes"/>
    <s v="No"/>
    <x v="1"/>
    <x v="1"/>
    <n v="2023"/>
    <s v="Aug"/>
    <s v="21-25"/>
    <s v="40K-60K"/>
  </r>
  <r>
    <s v="E0487"/>
    <x v="0"/>
    <x v="16"/>
    <x v="7"/>
    <x v="17"/>
    <s v="Mid-Level"/>
    <n v="46583"/>
    <x v="449"/>
    <s v="Bachelor's"/>
    <x v="3"/>
    <s v="Married"/>
    <n v="4"/>
    <n v="1"/>
    <n v="3"/>
    <s v="Excellent"/>
    <s v="No"/>
    <n v="175"/>
    <n v="47"/>
    <n v="30"/>
    <s v="Yes"/>
    <s v="Yes"/>
    <x v="1"/>
    <x v="1"/>
    <n v="2023"/>
    <s v="Nov"/>
    <s v="26-30"/>
    <s v="40K-60K"/>
  </r>
  <r>
    <s v="E0488"/>
    <x v="0"/>
    <x v="10"/>
    <x v="7"/>
    <x v="20"/>
    <s v="Junior"/>
    <n v="41798"/>
    <x v="450"/>
    <s v="PhD"/>
    <x v="3"/>
    <s v="Single"/>
    <n v="3"/>
    <n v="4"/>
    <n v="2"/>
    <s v="Low"/>
    <s v="No"/>
    <n v="246"/>
    <n v="7"/>
    <n v="6"/>
    <s v="Yes"/>
    <s v="No"/>
    <x v="1"/>
    <x v="1"/>
    <n v="2025"/>
    <s v="Mar"/>
    <s v="21-25"/>
    <s v="40K-60K"/>
  </r>
  <r>
    <s v="E0489"/>
    <x v="0"/>
    <x v="5"/>
    <x v="1"/>
    <x v="31"/>
    <s v="Senior"/>
    <n v="93158"/>
    <x v="451"/>
    <s v="PhD"/>
    <x v="0"/>
    <s v="Divorced"/>
    <n v="14"/>
    <n v="4"/>
    <n v="4"/>
    <s v="Average"/>
    <s v="No"/>
    <n v="186"/>
    <n v="70"/>
    <n v="7"/>
    <s v="Yes"/>
    <s v="No"/>
    <x v="0"/>
    <x v="0"/>
    <n v="2019"/>
    <s v="Feb"/>
    <s v="41-50"/>
    <s v="90K-130K"/>
  </r>
  <r>
    <s v="E0490"/>
    <x v="1"/>
    <x v="21"/>
    <x v="2"/>
    <x v="30"/>
    <s v="Mid-Level"/>
    <n v="63834"/>
    <x v="452"/>
    <s v="Diploma"/>
    <x v="3"/>
    <s v="Single"/>
    <n v="5"/>
    <n v="4"/>
    <n v="1"/>
    <s v="Low"/>
    <s v="No"/>
    <n v="243"/>
    <n v="21"/>
    <n v="14"/>
    <s v="Yes"/>
    <s v="No"/>
    <x v="1"/>
    <x v="1"/>
    <n v="2021"/>
    <s v="Mar"/>
    <s v="36-40"/>
    <s v="60K-90K"/>
  </r>
  <r>
    <s v="E0491"/>
    <x v="0"/>
    <x v="1"/>
    <x v="6"/>
    <x v="24"/>
    <s v="Junior"/>
    <n v="34541"/>
    <x v="453"/>
    <s v="PhD"/>
    <x v="6"/>
    <s v="Single"/>
    <n v="0"/>
    <n v="4"/>
    <n v="4"/>
    <s v="Excellent"/>
    <s v="No"/>
    <n v="189"/>
    <n v="11"/>
    <n v="11"/>
    <s v="Yes"/>
    <s v="No"/>
    <x v="1"/>
    <x v="1"/>
    <n v="2019"/>
    <s v="Jul"/>
    <s v="31-35"/>
    <s v="&lt;40K"/>
  </r>
  <r>
    <s v="E0492"/>
    <x v="1"/>
    <x v="3"/>
    <x v="5"/>
    <x v="6"/>
    <s v="Manager"/>
    <n v="122370"/>
    <x v="454"/>
    <s v="PhD"/>
    <x v="2"/>
    <s v="Divorced"/>
    <n v="13"/>
    <n v="2"/>
    <n v="1"/>
    <s v="Low"/>
    <s v="Yes"/>
    <n v="156"/>
    <n v="60"/>
    <n v="7"/>
    <s v="No"/>
    <s v="No"/>
    <x v="0"/>
    <x v="0"/>
    <n v="2019"/>
    <s v="Jul"/>
    <s v="41-50"/>
    <s v="90K-130K"/>
  </r>
  <r>
    <s v="E0493"/>
    <x v="1"/>
    <x v="14"/>
    <x v="3"/>
    <x v="3"/>
    <s v="Senior"/>
    <n v="72309"/>
    <x v="455"/>
    <s v="MBA"/>
    <x v="4"/>
    <s v="Single"/>
    <n v="6"/>
    <n v="1"/>
    <n v="5"/>
    <s v="Good"/>
    <s v="Yes"/>
    <n v="192"/>
    <n v="31"/>
    <n v="20"/>
    <s v="No"/>
    <s v="No"/>
    <x v="1"/>
    <x v="1"/>
    <n v="2026"/>
    <s v="Jul"/>
    <s v="31-35"/>
    <s v="60K-90K"/>
  </r>
  <r>
    <s v="E0494"/>
    <x v="0"/>
    <x v="12"/>
    <x v="6"/>
    <x v="7"/>
    <s v="Junior"/>
    <n v="34240"/>
    <x v="456"/>
    <s v="PhD"/>
    <x v="0"/>
    <s v="Divorced"/>
    <n v="1"/>
    <n v="1"/>
    <n v="1"/>
    <s v="Average"/>
    <s v="No"/>
    <n v="229"/>
    <n v="10"/>
    <n v="6"/>
    <s v="Yes"/>
    <s v="No"/>
    <x v="1"/>
    <x v="2"/>
    <n v="2023"/>
    <s v="Dec"/>
    <s v="21-25"/>
    <s v="&lt;40K"/>
  </r>
  <r>
    <s v="E0495"/>
    <x v="1"/>
    <x v="3"/>
    <x v="3"/>
    <x v="3"/>
    <s v="Manager"/>
    <n v="105391"/>
    <x v="457"/>
    <s v="MBA"/>
    <x v="3"/>
    <s v="Married"/>
    <n v="14"/>
    <n v="4"/>
    <n v="4"/>
    <s v="Low"/>
    <s v="No"/>
    <n v="214"/>
    <n v="77"/>
    <n v="3"/>
    <s v="No"/>
    <s v="Yes"/>
    <x v="1"/>
    <x v="1"/>
    <n v="2019"/>
    <s v="Oct"/>
    <s v="41-50"/>
    <s v="90K-130K"/>
  </r>
  <r>
    <s v="E0496"/>
    <x v="1"/>
    <x v="0"/>
    <x v="7"/>
    <x v="29"/>
    <s v="Mid-Level"/>
    <n v="56344"/>
    <x v="458"/>
    <s v="Bachelor's"/>
    <x v="3"/>
    <s v="Divorced"/>
    <n v="6"/>
    <n v="5"/>
    <n v="4"/>
    <s v="Average"/>
    <s v="No"/>
    <n v="227"/>
    <n v="80"/>
    <n v="24"/>
    <s v="Yes"/>
    <s v="No"/>
    <x v="1"/>
    <x v="2"/>
    <n v="2023"/>
    <s v="Apr"/>
    <s v="31-35"/>
    <s v="40K-60K"/>
  </r>
  <r>
    <s v="E0497"/>
    <x v="1"/>
    <x v="10"/>
    <x v="5"/>
    <x v="13"/>
    <s v="Senior"/>
    <n v="82597"/>
    <x v="459"/>
    <s v="Master's"/>
    <x v="2"/>
    <s v="Single"/>
    <n v="13"/>
    <n v="2"/>
    <n v="2"/>
    <s v="Good"/>
    <s v="Yes"/>
    <n v="218"/>
    <n v="11"/>
    <n v="22"/>
    <s v="Yes"/>
    <s v="No"/>
    <x v="1"/>
    <x v="1"/>
    <n v="2020"/>
    <s v="May"/>
    <s v="21-25"/>
    <s v="60K-90K"/>
  </r>
  <r>
    <s v="E0498"/>
    <x v="0"/>
    <x v="4"/>
    <x v="0"/>
    <x v="0"/>
    <s v="Senior"/>
    <n v="86270"/>
    <x v="460"/>
    <s v="Bachelor's"/>
    <x v="5"/>
    <s v="Married"/>
    <n v="6"/>
    <n v="3"/>
    <n v="2"/>
    <s v="Average"/>
    <s v="No"/>
    <n v="228"/>
    <n v="40"/>
    <n v="7"/>
    <s v="No"/>
    <s v="No"/>
    <x v="1"/>
    <x v="1"/>
    <n v="2025"/>
    <s v="Feb"/>
    <s v="26-30"/>
    <s v="60K-90K"/>
  </r>
  <r>
    <s v="E0499"/>
    <x v="0"/>
    <x v="12"/>
    <x v="4"/>
    <x v="5"/>
    <s v="Mid-Level"/>
    <n v="68766"/>
    <x v="461"/>
    <s v="Master's"/>
    <x v="7"/>
    <s v="Married"/>
    <n v="5"/>
    <n v="3"/>
    <n v="3"/>
    <s v="Average"/>
    <s v="Yes"/>
    <n v="224"/>
    <n v="66"/>
    <n v="4"/>
    <s v="No"/>
    <s v="No"/>
    <x v="0"/>
    <x v="0"/>
    <n v="2021"/>
    <s v="Jun"/>
    <s v="21-25"/>
    <s v="60K-90K"/>
  </r>
  <r>
    <s v="E0500"/>
    <x v="0"/>
    <x v="13"/>
    <x v="7"/>
    <x v="8"/>
    <s v="Mid-Level"/>
    <n v="48188"/>
    <x v="462"/>
    <s v="PhD"/>
    <x v="0"/>
    <s v="Single"/>
    <n v="6"/>
    <n v="2"/>
    <n v="3"/>
    <s v="Average"/>
    <s v="Yes"/>
    <n v="189"/>
    <n v="14"/>
    <n v="15"/>
    <s v="Yes"/>
    <s v="No"/>
    <x v="1"/>
    <x v="2"/>
    <n v="2024"/>
    <s v="Jul"/>
    <s v="21-25"/>
    <s v="40K-60K"/>
  </r>
  <r>
    <s v="E0501"/>
    <x v="1"/>
    <x v="21"/>
    <x v="2"/>
    <x v="12"/>
    <s v="Junior"/>
    <n v="31267"/>
    <x v="463"/>
    <s v="Bachelor's"/>
    <x v="2"/>
    <s v="Single"/>
    <n v="3"/>
    <n v="1"/>
    <n v="1"/>
    <s v="Low"/>
    <s v="Yes"/>
    <n v="247"/>
    <n v="6"/>
    <n v="27"/>
    <s v="Yes"/>
    <s v="Yes"/>
    <x v="0"/>
    <x v="0"/>
    <n v="2023"/>
    <s v="Apr"/>
    <s v="36-40"/>
    <s v="&lt;40K"/>
  </r>
  <r>
    <s v="E0502"/>
    <x v="1"/>
    <x v="23"/>
    <x v="2"/>
    <x v="12"/>
    <s v="Mid-Level"/>
    <n v="57742"/>
    <x v="75"/>
    <s v="Diploma"/>
    <x v="2"/>
    <s v="Divorced"/>
    <n v="6"/>
    <n v="2"/>
    <n v="3"/>
    <s v="Low"/>
    <s v="No"/>
    <n v="211"/>
    <n v="7"/>
    <n v="28"/>
    <s v="Yes"/>
    <s v="No"/>
    <x v="1"/>
    <x v="1"/>
    <n v="2023"/>
    <s v="Dec"/>
    <s v="41-50"/>
    <s v="40K-60K"/>
  </r>
  <r>
    <s v="E0503"/>
    <x v="1"/>
    <x v="13"/>
    <x v="2"/>
    <x v="2"/>
    <s v="Mid-Level"/>
    <n v="42039"/>
    <x v="464"/>
    <s v="Master's"/>
    <x v="7"/>
    <s v="Divorced"/>
    <n v="3"/>
    <n v="2"/>
    <n v="4"/>
    <s v="Low"/>
    <s v="No"/>
    <n v="168"/>
    <n v="67"/>
    <n v="7"/>
    <s v="Yes"/>
    <s v="No"/>
    <x v="1"/>
    <x v="1"/>
    <n v="2019"/>
    <s v="Apr"/>
    <s v="21-25"/>
    <s v="40K-60K"/>
  </r>
  <r>
    <s v="E0504"/>
    <x v="0"/>
    <x v="0"/>
    <x v="5"/>
    <x v="6"/>
    <s v="Junior"/>
    <n v="38935"/>
    <x v="465"/>
    <s v="MBA"/>
    <x v="3"/>
    <s v="Divorced"/>
    <n v="0"/>
    <n v="1"/>
    <n v="1"/>
    <s v="Excellent"/>
    <s v="No"/>
    <n v="169"/>
    <n v="24"/>
    <n v="30"/>
    <s v="No"/>
    <s v="No"/>
    <x v="1"/>
    <x v="1"/>
    <n v="2023"/>
    <s v="Jan"/>
    <s v="31-35"/>
    <s v="&lt;40K"/>
  </r>
  <r>
    <s v="E0505"/>
    <x v="1"/>
    <x v="16"/>
    <x v="3"/>
    <x v="15"/>
    <s v="Senior"/>
    <n v="97718"/>
    <x v="466"/>
    <s v="PhD"/>
    <x v="6"/>
    <s v="Divorced"/>
    <n v="10"/>
    <n v="1"/>
    <n v="1"/>
    <s v="Excellent"/>
    <s v="Yes"/>
    <n v="249"/>
    <n v="13"/>
    <n v="5"/>
    <s v="No"/>
    <s v="No"/>
    <x v="0"/>
    <x v="0"/>
    <n v="2021"/>
    <s v="Dec"/>
    <s v="26-30"/>
    <s v="90K-130K"/>
  </r>
  <r>
    <s v="E0506"/>
    <x v="1"/>
    <x v="7"/>
    <x v="5"/>
    <x v="13"/>
    <s v="Junior"/>
    <n v="38585"/>
    <x v="33"/>
    <s v="PhD"/>
    <x v="4"/>
    <s v="Single"/>
    <n v="1"/>
    <n v="4"/>
    <n v="3"/>
    <s v="Average"/>
    <s v="No"/>
    <n v="213"/>
    <n v="54"/>
    <n v="15"/>
    <s v="No"/>
    <s v="No"/>
    <x v="1"/>
    <x v="2"/>
    <n v="2021"/>
    <s v="Jan"/>
    <s v="26-30"/>
    <s v="&lt;40K"/>
  </r>
  <r>
    <s v="E0507"/>
    <x v="1"/>
    <x v="16"/>
    <x v="1"/>
    <x v="1"/>
    <s v="Junior"/>
    <n v="41822"/>
    <x v="467"/>
    <s v="PhD"/>
    <x v="3"/>
    <s v="Single"/>
    <n v="1"/>
    <n v="2"/>
    <n v="3"/>
    <s v="Low"/>
    <s v="Yes"/>
    <n v="176"/>
    <n v="49"/>
    <n v="13"/>
    <s v="Yes"/>
    <s v="Yes"/>
    <x v="1"/>
    <x v="1"/>
    <n v="2019"/>
    <s v="Dec"/>
    <s v="26-30"/>
    <s v="40K-60K"/>
  </r>
  <r>
    <s v="E0508"/>
    <x v="1"/>
    <x v="12"/>
    <x v="6"/>
    <x v="24"/>
    <s v="Mid-Level"/>
    <n v="48905"/>
    <x v="468"/>
    <s v="Bachelor's"/>
    <x v="7"/>
    <s v="Married"/>
    <n v="3"/>
    <n v="2"/>
    <n v="1"/>
    <s v="Low"/>
    <s v="No"/>
    <n v="240"/>
    <n v="18"/>
    <n v="23"/>
    <s v="No"/>
    <s v="No"/>
    <x v="1"/>
    <x v="1"/>
    <n v="2019"/>
    <s v="Aug"/>
    <s v="21-25"/>
    <s v="40K-60K"/>
  </r>
  <r>
    <s v="E0509"/>
    <x v="1"/>
    <x v="14"/>
    <x v="6"/>
    <x v="7"/>
    <s v="Mid-Level"/>
    <n v="53968"/>
    <x v="469"/>
    <s v="Master's"/>
    <x v="6"/>
    <s v="Divorced"/>
    <n v="3"/>
    <n v="2"/>
    <n v="1"/>
    <s v="Average"/>
    <s v="Yes"/>
    <n v="222"/>
    <n v="72"/>
    <n v="24"/>
    <s v="No"/>
    <s v="No"/>
    <x v="0"/>
    <x v="0"/>
    <n v="2019"/>
    <s v="Nov"/>
    <s v="31-35"/>
    <s v="40K-60K"/>
  </r>
  <r>
    <s v="E0510"/>
    <x v="1"/>
    <x v="19"/>
    <x v="4"/>
    <x v="5"/>
    <s v="Manager"/>
    <n v="91731"/>
    <x v="470"/>
    <s v="Bachelor's"/>
    <x v="7"/>
    <s v="Married"/>
    <n v="12"/>
    <n v="2"/>
    <n v="1"/>
    <s v="Excellent"/>
    <s v="No"/>
    <n v="154"/>
    <n v="75"/>
    <n v="24"/>
    <s v="No"/>
    <s v="No"/>
    <x v="1"/>
    <x v="1"/>
    <n v="2020"/>
    <s v="Mar"/>
    <s v="26-30"/>
    <s v="90K-130K"/>
  </r>
  <r>
    <s v="E0511"/>
    <x v="0"/>
    <x v="8"/>
    <x v="4"/>
    <x v="19"/>
    <s v="Senior"/>
    <n v="71025"/>
    <x v="471"/>
    <s v="Master's"/>
    <x v="1"/>
    <s v="Divorced"/>
    <n v="13"/>
    <n v="2"/>
    <n v="2"/>
    <s v="Excellent"/>
    <s v="No"/>
    <n v="229"/>
    <n v="66"/>
    <n v="12"/>
    <s v="No"/>
    <s v="Yes"/>
    <x v="1"/>
    <x v="2"/>
    <n v="2023"/>
    <s v="Mar"/>
    <s v="31-35"/>
    <s v="60K-90K"/>
  </r>
  <r>
    <s v="E0512"/>
    <x v="1"/>
    <x v="1"/>
    <x v="6"/>
    <x v="7"/>
    <s v="Senior"/>
    <n v="107378"/>
    <x v="472"/>
    <s v="MBA"/>
    <x v="5"/>
    <s v="Single"/>
    <n v="11"/>
    <n v="3"/>
    <n v="1"/>
    <s v="Good"/>
    <s v="Yes"/>
    <n v="159"/>
    <n v="25"/>
    <n v="19"/>
    <s v="Yes"/>
    <s v="No"/>
    <x v="1"/>
    <x v="1"/>
    <n v="2021"/>
    <s v="Mar"/>
    <s v="31-35"/>
    <s v="90K-130K"/>
  </r>
  <r>
    <s v="E0513"/>
    <x v="0"/>
    <x v="4"/>
    <x v="0"/>
    <x v="0"/>
    <s v="Mid-Level"/>
    <n v="60077"/>
    <x v="473"/>
    <s v="PhD"/>
    <x v="5"/>
    <s v="Single"/>
    <n v="3"/>
    <n v="1"/>
    <n v="2"/>
    <s v="Good"/>
    <s v="No"/>
    <n v="160"/>
    <n v="16"/>
    <n v="11"/>
    <s v="Yes"/>
    <s v="Yes"/>
    <x v="1"/>
    <x v="1"/>
    <n v="2026"/>
    <s v="Feb"/>
    <s v="26-30"/>
    <s v="60K-90K"/>
  </r>
  <r>
    <s v="E0514"/>
    <x v="1"/>
    <x v="12"/>
    <x v="4"/>
    <x v="19"/>
    <s v="Senior"/>
    <n v="90601"/>
    <x v="474"/>
    <s v="Master's"/>
    <x v="5"/>
    <s v="Divorced"/>
    <n v="10"/>
    <n v="1"/>
    <n v="3"/>
    <s v="Excellent"/>
    <s v="No"/>
    <n v="244"/>
    <n v="66"/>
    <n v="20"/>
    <s v="Yes"/>
    <s v="Yes"/>
    <x v="1"/>
    <x v="1"/>
    <n v="2020"/>
    <s v="Jun"/>
    <s v="21-25"/>
    <s v="90K-130K"/>
  </r>
  <r>
    <s v="E0515"/>
    <x v="0"/>
    <x v="16"/>
    <x v="6"/>
    <x v="24"/>
    <s v="Junior"/>
    <n v="31056"/>
    <x v="196"/>
    <s v="Master's"/>
    <x v="4"/>
    <s v="Married"/>
    <n v="1"/>
    <n v="2"/>
    <n v="2"/>
    <s v="Good"/>
    <s v="No"/>
    <n v="216"/>
    <n v="60"/>
    <n v="3"/>
    <s v="No"/>
    <s v="No"/>
    <x v="1"/>
    <x v="2"/>
    <n v="2021"/>
    <s v="Jun"/>
    <s v="26-30"/>
    <s v="&lt;40K"/>
  </r>
  <r>
    <s v="E0516"/>
    <x v="0"/>
    <x v="6"/>
    <x v="1"/>
    <x v="31"/>
    <s v="Mid-Level"/>
    <n v="60576"/>
    <x v="475"/>
    <s v="Bachelor's"/>
    <x v="6"/>
    <s v="Single"/>
    <n v="7"/>
    <n v="1"/>
    <n v="1"/>
    <s v="Excellent"/>
    <s v="Yes"/>
    <n v="248"/>
    <n v="45"/>
    <n v="7"/>
    <s v="No"/>
    <s v="No"/>
    <x v="1"/>
    <x v="1"/>
    <n v="2024"/>
    <s v="Jul"/>
    <s v="36-40"/>
    <s v="60K-90K"/>
  </r>
  <r>
    <s v="E0517"/>
    <x v="0"/>
    <x v="0"/>
    <x v="5"/>
    <x v="6"/>
    <s v="Senior"/>
    <n v="70847"/>
    <x v="150"/>
    <s v="Master's"/>
    <x v="1"/>
    <s v="Divorced"/>
    <n v="6"/>
    <n v="4"/>
    <n v="3"/>
    <s v="Excellent"/>
    <s v="No"/>
    <n v="182"/>
    <n v="10"/>
    <n v="13"/>
    <s v="No"/>
    <s v="No"/>
    <x v="1"/>
    <x v="2"/>
    <n v="2021"/>
    <s v="Jan"/>
    <s v="31-35"/>
    <s v="60K-90K"/>
  </r>
  <r>
    <s v="E0518"/>
    <x v="1"/>
    <x v="12"/>
    <x v="6"/>
    <x v="24"/>
    <s v="Senior"/>
    <n v="98585"/>
    <x v="375"/>
    <s v="Bachelor's"/>
    <x v="5"/>
    <s v="Divorced"/>
    <n v="14"/>
    <n v="3"/>
    <n v="1"/>
    <s v="Average"/>
    <s v="No"/>
    <n v="202"/>
    <n v="76"/>
    <n v="2"/>
    <s v="Yes"/>
    <s v="No"/>
    <x v="1"/>
    <x v="1"/>
    <n v="2022"/>
    <s v="Jul"/>
    <s v="21-25"/>
    <s v="90K-130K"/>
  </r>
  <r>
    <s v="E0519"/>
    <x v="1"/>
    <x v="14"/>
    <x v="4"/>
    <x v="19"/>
    <s v="Manager"/>
    <n v="99565"/>
    <x v="476"/>
    <s v="PhD"/>
    <x v="1"/>
    <s v="Single"/>
    <n v="11"/>
    <n v="4"/>
    <n v="1"/>
    <s v="Average"/>
    <s v="No"/>
    <n v="209"/>
    <n v="18"/>
    <n v="14"/>
    <s v="No"/>
    <s v="No"/>
    <x v="1"/>
    <x v="1"/>
    <n v="2023"/>
    <s v="May"/>
    <s v="31-35"/>
    <s v="90K-130K"/>
  </r>
  <r>
    <s v="E0520"/>
    <x v="1"/>
    <x v="6"/>
    <x v="3"/>
    <x v="15"/>
    <s v="Senior"/>
    <n v="87441"/>
    <x v="316"/>
    <s v="Master's"/>
    <x v="6"/>
    <s v="Single"/>
    <n v="14"/>
    <n v="2"/>
    <n v="4"/>
    <s v="Average"/>
    <s v="Yes"/>
    <n v="185"/>
    <n v="45"/>
    <n v="20"/>
    <s v="Yes"/>
    <s v="No"/>
    <x v="0"/>
    <x v="0"/>
    <n v="2024"/>
    <s v="Jun"/>
    <s v="36-40"/>
    <s v="60K-90K"/>
  </r>
  <r>
    <s v="E0521"/>
    <x v="1"/>
    <x v="9"/>
    <x v="0"/>
    <x v="0"/>
    <s v="Manager"/>
    <n v="152050"/>
    <x v="477"/>
    <s v="Master's"/>
    <x v="1"/>
    <s v="Single"/>
    <n v="11"/>
    <n v="2"/>
    <n v="1"/>
    <s v="Low"/>
    <s v="No"/>
    <n v="204"/>
    <n v="40"/>
    <n v="14"/>
    <s v="Yes"/>
    <s v="No"/>
    <x v="1"/>
    <x v="1"/>
    <n v="2019"/>
    <s v="Aug"/>
    <s v="21-25"/>
    <s v="130K+"/>
  </r>
  <r>
    <s v="E0522"/>
    <x v="1"/>
    <x v="0"/>
    <x v="4"/>
    <x v="19"/>
    <s v="Senior"/>
    <n v="77063"/>
    <x v="478"/>
    <s v="PhD"/>
    <x v="6"/>
    <s v="Married"/>
    <n v="5"/>
    <n v="4"/>
    <n v="3"/>
    <s v="Average"/>
    <s v="No"/>
    <n v="171"/>
    <n v="60"/>
    <n v="13"/>
    <s v="No"/>
    <s v="No"/>
    <x v="1"/>
    <x v="2"/>
    <n v="2020"/>
    <s v="Jan"/>
    <s v="31-35"/>
    <s v="60K-90K"/>
  </r>
  <r>
    <s v="E0523"/>
    <x v="0"/>
    <x v="16"/>
    <x v="1"/>
    <x v="31"/>
    <s v="Mid-Level"/>
    <n v="52608"/>
    <x v="479"/>
    <s v="Bachelor's"/>
    <x v="7"/>
    <s v="Married"/>
    <n v="7"/>
    <n v="1"/>
    <n v="2"/>
    <s v="Low"/>
    <s v="No"/>
    <n v="168"/>
    <n v="62"/>
    <n v="28"/>
    <s v="Yes"/>
    <s v="No"/>
    <x v="1"/>
    <x v="2"/>
    <n v="2022"/>
    <s v="Jul"/>
    <s v="26-30"/>
    <s v="40K-60K"/>
  </r>
  <r>
    <s v="E0524"/>
    <x v="0"/>
    <x v="0"/>
    <x v="0"/>
    <x v="9"/>
    <s v="Mid-Level"/>
    <n v="55768"/>
    <x v="480"/>
    <s v="Master's"/>
    <x v="5"/>
    <s v="Married"/>
    <n v="7"/>
    <n v="2"/>
    <n v="5"/>
    <s v="Good"/>
    <s v="No"/>
    <n v="177"/>
    <n v="7"/>
    <n v="11"/>
    <s v="No"/>
    <s v="No"/>
    <x v="1"/>
    <x v="1"/>
    <n v="2025"/>
    <s v="Feb"/>
    <s v="31-35"/>
    <s v="40K-60K"/>
  </r>
  <r>
    <s v="E0525"/>
    <x v="1"/>
    <x v="19"/>
    <x v="7"/>
    <x v="17"/>
    <s v="Manager"/>
    <n v="136101"/>
    <x v="481"/>
    <s v="MBA"/>
    <x v="3"/>
    <s v="Divorced"/>
    <n v="13"/>
    <n v="4"/>
    <n v="5"/>
    <s v="Average"/>
    <s v="No"/>
    <n v="164"/>
    <n v="74"/>
    <n v="15"/>
    <s v="No"/>
    <s v="No"/>
    <x v="1"/>
    <x v="1"/>
    <n v="2025"/>
    <s v="Jan"/>
    <s v="26-30"/>
    <s v="130K+"/>
  </r>
  <r>
    <s v="E0526"/>
    <x v="1"/>
    <x v="9"/>
    <x v="5"/>
    <x v="28"/>
    <s v="Junior"/>
    <n v="31401"/>
    <x v="482"/>
    <s v="Diploma"/>
    <x v="1"/>
    <s v="Divorced"/>
    <n v="0"/>
    <n v="1"/>
    <n v="5"/>
    <s v="Excellent"/>
    <s v="No"/>
    <n v="163"/>
    <n v="69"/>
    <n v="20"/>
    <s v="Yes"/>
    <s v="No"/>
    <x v="1"/>
    <x v="1"/>
    <n v="2026"/>
    <s v="Apr"/>
    <s v="21-25"/>
    <s v="&lt;40K"/>
  </r>
  <r>
    <s v="E0527"/>
    <x v="1"/>
    <x v="9"/>
    <x v="1"/>
    <x v="14"/>
    <s v="Manager"/>
    <n v="139948"/>
    <x v="483"/>
    <s v="PhD"/>
    <x v="5"/>
    <s v="Married"/>
    <n v="9"/>
    <n v="4"/>
    <n v="1"/>
    <s v="Average"/>
    <s v="No"/>
    <n v="251"/>
    <n v="69"/>
    <n v="11"/>
    <s v="No"/>
    <s v="No"/>
    <x v="1"/>
    <x v="1"/>
    <n v="2021"/>
    <s v="Mar"/>
    <s v="21-25"/>
    <s v="130K+"/>
  </r>
  <r>
    <s v="E0528"/>
    <x v="1"/>
    <x v="14"/>
    <x v="4"/>
    <x v="19"/>
    <s v="Junior"/>
    <n v="41584"/>
    <x v="484"/>
    <s v="Diploma"/>
    <x v="7"/>
    <s v="Single"/>
    <n v="0"/>
    <n v="1"/>
    <n v="2"/>
    <s v="Excellent"/>
    <s v="No"/>
    <n v="257"/>
    <n v="29"/>
    <n v="21"/>
    <s v="No"/>
    <s v="No"/>
    <x v="1"/>
    <x v="2"/>
    <n v="2019"/>
    <s v="Mar"/>
    <s v="31-35"/>
    <s v="40K-60K"/>
  </r>
  <r>
    <s v="E0529"/>
    <x v="0"/>
    <x v="8"/>
    <x v="4"/>
    <x v="19"/>
    <s v="Manager"/>
    <n v="112769"/>
    <x v="485"/>
    <s v="Master's"/>
    <x v="1"/>
    <s v="Divorced"/>
    <n v="14"/>
    <n v="5"/>
    <n v="2"/>
    <s v="Excellent"/>
    <s v="No"/>
    <n v="179"/>
    <n v="38"/>
    <n v="28"/>
    <s v="No"/>
    <s v="Yes"/>
    <x v="1"/>
    <x v="1"/>
    <n v="2022"/>
    <s v="Jul"/>
    <s v="31-35"/>
    <s v="90K-130K"/>
  </r>
  <r>
    <s v="E0530"/>
    <x v="1"/>
    <x v="12"/>
    <x v="1"/>
    <x v="31"/>
    <s v="Junior"/>
    <n v="28840"/>
    <x v="486"/>
    <s v="Bachelor's"/>
    <x v="3"/>
    <s v="Married"/>
    <n v="3"/>
    <n v="5"/>
    <n v="2"/>
    <s v="Good"/>
    <s v="Yes"/>
    <n v="229"/>
    <n v="28"/>
    <n v="9"/>
    <s v="No"/>
    <s v="Yes"/>
    <x v="1"/>
    <x v="1"/>
    <n v="2019"/>
    <s v="Feb"/>
    <s v="21-25"/>
    <s v="&lt;40K"/>
  </r>
  <r>
    <s v="E0531"/>
    <x v="1"/>
    <x v="2"/>
    <x v="1"/>
    <x v="14"/>
    <s v="Manager"/>
    <n v="124141"/>
    <x v="487"/>
    <s v="Diploma"/>
    <x v="1"/>
    <s v="Single"/>
    <n v="18"/>
    <n v="3"/>
    <n v="1"/>
    <s v="Excellent"/>
    <s v="Yes"/>
    <n v="230"/>
    <n v="20"/>
    <n v="5"/>
    <s v="Yes"/>
    <s v="Yes"/>
    <x v="1"/>
    <x v="1"/>
    <n v="2019"/>
    <s v="Jul"/>
    <s v="36-40"/>
    <s v="90K-130K"/>
  </r>
  <r>
    <s v="E0532"/>
    <x v="1"/>
    <x v="9"/>
    <x v="6"/>
    <x v="7"/>
    <s v="Junior"/>
    <n v="44195"/>
    <x v="488"/>
    <s v="PhD"/>
    <x v="1"/>
    <s v="Single"/>
    <n v="2"/>
    <n v="4"/>
    <n v="1"/>
    <s v="Excellent"/>
    <s v="No"/>
    <n v="251"/>
    <n v="53"/>
    <n v="30"/>
    <s v="No"/>
    <s v="Yes"/>
    <x v="1"/>
    <x v="2"/>
    <n v="2021"/>
    <s v="May"/>
    <s v="21-25"/>
    <s v="40K-60K"/>
  </r>
  <r>
    <s v="E0533"/>
    <x v="0"/>
    <x v="1"/>
    <x v="6"/>
    <x v="22"/>
    <s v="Junior"/>
    <n v="33854"/>
    <x v="435"/>
    <s v="MBA"/>
    <x v="1"/>
    <s v="Single"/>
    <n v="0"/>
    <n v="3"/>
    <n v="3"/>
    <s v="Low"/>
    <s v="No"/>
    <n v="228"/>
    <n v="73"/>
    <n v="2"/>
    <s v="No"/>
    <s v="Yes"/>
    <x v="1"/>
    <x v="1"/>
    <n v="2020"/>
    <s v="Apr"/>
    <s v="31-35"/>
    <s v="&lt;40K"/>
  </r>
  <r>
    <s v="E0534"/>
    <x v="0"/>
    <x v="15"/>
    <x v="3"/>
    <x v="15"/>
    <s v="Mid-Level"/>
    <n v="42966"/>
    <x v="489"/>
    <s v="PhD"/>
    <x v="0"/>
    <s v="Single"/>
    <n v="4"/>
    <n v="2"/>
    <n v="1"/>
    <s v="Good"/>
    <s v="No"/>
    <n v="238"/>
    <n v="75"/>
    <n v="22"/>
    <s v="No"/>
    <s v="No"/>
    <x v="1"/>
    <x v="2"/>
    <n v="2020"/>
    <s v="Jul"/>
    <s v="21-25"/>
    <s v="40K-60K"/>
  </r>
  <r>
    <s v="E0535"/>
    <x v="1"/>
    <x v="16"/>
    <x v="4"/>
    <x v="18"/>
    <s v="Mid-Level"/>
    <n v="50195"/>
    <x v="490"/>
    <s v="Master's"/>
    <x v="6"/>
    <s v="Married"/>
    <n v="3"/>
    <n v="3"/>
    <n v="4"/>
    <s v="Excellent"/>
    <s v="Yes"/>
    <n v="224"/>
    <n v="59"/>
    <n v="21"/>
    <s v="No"/>
    <s v="No"/>
    <x v="1"/>
    <x v="1"/>
    <n v="2021"/>
    <s v="Mar"/>
    <s v="26-30"/>
    <s v="40K-60K"/>
  </r>
  <r>
    <s v="E0536"/>
    <x v="1"/>
    <x v="14"/>
    <x v="2"/>
    <x v="2"/>
    <s v="Manager"/>
    <n v="116177"/>
    <x v="491"/>
    <s v="MBA"/>
    <x v="7"/>
    <s v="Married"/>
    <n v="17"/>
    <n v="3"/>
    <n v="1"/>
    <s v="Good"/>
    <s v="No"/>
    <n v="171"/>
    <n v="55"/>
    <n v="2"/>
    <s v="Yes"/>
    <s v="Yes"/>
    <x v="1"/>
    <x v="1"/>
    <n v="2022"/>
    <s v="Dec"/>
    <s v="31-35"/>
    <s v="90K-130K"/>
  </r>
  <r>
    <s v="E0537"/>
    <x v="1"/>
    <x v="12"/>
    <x v="4"/>
    <x v="19"/>
    <s v="Senior"/>
    <n v="81077"/>
    <x v="492"/>
    <s v="MBA"/>
    <x v="5"/>
    <s v="Divorced"/>
    <n v="6"/>
    <n v="3"/>
    <n v="3"/>
    <s v="Good"/>
    <s v="Yes"/>
    <n v="249"/>
    <n v="32"/>
    <n v="16"/>
    <s v="No"/>
    <s v="No"/>
    <x v="0"/>
    <x v="0"/>
    <n v="2021"/>
    <s v="May"/>
    <s v="21-25"/>
    <s v="60K-90K"/>
  </r>
  <r>
    <s v="E0538"/>
    <x v="1"/>
    <x v="17"/>
    <x v="1"/>
    <x v="31"/>
    <s v="Manager"/>
    <n v="127173"/>
    <x v="493"/>
    <s v="Bachelor's"/>
    <x v="7"/>
    <s v="Divorced"/>
    <n v="17"/>
    <n v="5"/>
    <n v="2"/>
    <s v="Excellent"/>
    <s v="Yes"/>
    <n v="221"/>
    <n v="45"/>
    <n v="28"/>
    <s v="No"/>
    <s v="No"/>
    <x v="1"/>
    <x v="1"/>
    <n v="2021"/>
    <s v="May"/>
    <s v="26-30"/>
    <s v="90K-130K"/>
  </r>
  <r>
    <s v="E0539"/>
    <x v="0"/>
    <x v="20"/>
    <x v="0"/>
    <x v="16"/>
    <s v="Manager"/>
    <n v="96133"/>
    <x v="494"/>
    <s v="Master's"/>
    <x v="5"/>
    <s v="Married"/>
    <n v="12"/>
    <n v="1"/>
    <n v="1"/>
    <s v="Low"/>
    <s v="No"/>
    <n v="171"/>
    <n v="78"/>
    <n v="2"/>
    <s v="No"/>
    <s v="No"/>
    <x v="1"/>
    <x v="1"/>
    <n v="2023"/>
    <s v="Sep"/>
    <s v="36-40"/>
    <s v="90K-130K"/>
  </r>
  <r>
    <s v="E0540"/>
    <x v="0"/>
    <x v="16"/>
    <x v="4"/>
    <x v="27"/>
    <s v="Junior"/>
    <n v="39055"/>
    <x v="495"/>
    <s v="MBA"/>
    <x v="7"/>
    <s v="Single"/>
    <n v="0"/>
    <n v="4"/>
    <n v="1"/>
    <s v="Good"/>
    <s v="No"/>
    <n v="242"/>
    <n v="68"/>
    <n v="21"/>
    <s v="Yes"/>
    <s v="No"/>
    <x v="1"/>
    <x v="2"/>
    <n v="2019"/>
    <s v="Oct"/>
    <s v="26-30"/>
    <s v="&lt;40K"/>
  </r>
  <r>
    <s v="E0541"/>
    <x v="1"/>
    <x v="6"/>
    <x v="7"/>
    <x v="17"/>
    <s v="Junior"/>
    <n v="40252"/>
    <x v="332"/>
    <s v="PhD"/>
    <x v="0"/>
    <s v="Single"/>
    <n v="0"/>
    <n v="2"/>
    <n v="1"/>
    <s v="Low"/>
    <s v="Yes"/>
    <n v="167"/>
    <n v="29"/>
    <n v="25"/>
    <s v="No"/>
    <s v="Yes"/>
    <x v="1"/>
    <x v="1"/>
    <n v="2019"/>
    <s v="Apr"/>
    <s v="36-40"/>
    <s v="40K-60K"/>
  </r>
  <r>
    <s v="E0542"/>
    <x v="0"/>
    <x v="10"/>
    <x v="5"/>
    <x v="28"/>
    <s v="Junior"/>
    <n v="29572"/>
    <x v="496"/>
    <s v="Master's"/>
    <x v="3"/>
    <s v="Divorced"/>
    <n v="2"/>
    <n v="3"/>
    <n v="3"/>
    <s v="Excellent"/>
    <s v="No"/>
    <n v="228"/>
    <n v="20"/>
    <n v="6"/>
    <s v="No"/>
    <s v="No"/>
    <x v="1"/>
    <x v="1"/>
    <n v="2019"/>
    <s v="Nov"/>
    <s v="21-25"/>
    <s v="&lt;40K"/>
  </r>
  <r>
    <s v="E0543"/>
    <x v="1"/>
    <x v="0"/>
    <x v="7"/>
    <x v="29"/>
    <s v="Mid-Level"/>
    <n v="60936"/>
    <x v="497"/>
    <s v="MBA"/>
    <x v="2"/>
    <s v="Divorced"/>
    <n v="5"/>
    <n v="4"/>
    <n v="3"/>
    <s v="Low"/>
    <s v="No"/>
    <n v="248"/>
    <n v="50"/>
    <n v="19"/>
    <s v="Yes"/>
    <s v="No"/>
    <x v="1"/>
    <x v="1"/>
    <n v="2026"/>
    <s v="Jun"/>
    <s v="31-35"/>
    <s v="60K-90K"/>
  </r>
  <r>
    <s v="E0544"/>
    <x v="0"/>
    <x v="3"/>
    <x v="2"/>
    <x v="2"/>
    <s v="Junior"/>
    <n v="34962"/>
    <x v="498"/>
    <s v="Master's"/>
    <x v="4"/>
    <s v="Married"/>
    <n v="0"/>
    <n v="2"/>
    <n v="4"/>
    <s v="Excellent"/>
    <s v="No"/>
    <n v="174"/>
    <n v="24"/>
    <n v="29"/>
    <s v="No"/>
    <s v="No"/>
    <x v="0"/>
    <x v="0"/>
    <n v="2026"/>
    <s v="Jul"/>
    <s v="41-50"/>
    <s v="&lt;40K"/>
  </r>
  <r>
    <s v="E0545"/>
    <x v="0"/>
    <x v="9"/>
    <x v="6"/>
    <x v="26"/>
    <s v="Senior"/>
    <n v="90269"/>
    <x v="499"/>
    <s v="Master's"/>
    <x v="2"/>
    <s v="Divorced"/>
    <n v="12"/>
    <n v="5"/>
    <n v="2"/>
    <s v="Low"/>
    <s v="No"/>
    <n v="174"/>
    <n v="23"/>
    <n v="16"/>
    <s v="Yes"/>
    <s v="Yes"/>
    <x v="1"/>
    <x v="1"/>
    <n v="2025"/>
    <s v="Dec"/>
    <s v="21-25"/>
    <s v="90K-130K"/>
  </r>
  <r>
    <s v="E0546"/>
    <x v="0"/>
    <x v="19"/>
    <x v="0"/>
    <x v="16"/>
    <s v="Mid-Level"/>
    <n v="50741"/>
    <x v="500"/>
    <s v="Bachelor's"/>
    <x v="4"/>
    <s v="Married"/>
    <n v="2"/>
    <n v="5"/>
    <n v="4"/>
    <s v="Average"/>
    <s v="No"/>
    <n v="183"/>
    <n v="24"/>
    <n v="14"/>
    <s v="No"/>
    <s v="Yes"/>
    <x v="1"/>
    <x v="2"/>
    <n v="2024"/>
    <s v="May"/>
    <s v="26-30"/>
    <s v="40K-60K"/>
  </r>
  <r>
    <s v="E0547"/>
    <x v="1"/>
    <x v="2"/>
    <x v="0"/>
    <x v="16"/>
    <s v="Senior"/>
    <n v="89233"/>
    <x v="501"/>
    <s v="Diploma"/>
    <x v="2"/>
    <s v="Divorced"/>
    <n v="6"/>
    <n v="4"/>
    <n v="4"/>
    <s v="Excellent"/>
    <s v="Yes"/>
    <n v="187"/>
    <n v="71"/>
    <n v="15"/>
    <s v="Yes"/>
    <s v="No"/>
    <x v="1"/>
    <x v="1"/>
    <n v="2019"/>
    <s v="Jul"/>
    <s v="36-40"/>
    <s v="60K-90K"/>
  </r>
  <r>
    <s v="E0548"/>
    <x v="0"/>
    <x v="4"/>
    <x v="2"/>
    <x v="12"/>
    <s v="Junior"/>
    <n v="29741"/>
    <x v="502"/>
    <s v="Diploma"/>
    <x v="7"/>
    <s v="Married"/>
    <n v="0"/>
    <n v="3"/>
    <n v="2"/>
    <s v="Excellent"/>
    <s v="Yes"/>
    <n v="218"/>
    <n v="17"/>
    <n v="9"/>
    <s v="No"/>
    <s v="Yes"/>
    <x v="1"/>
    <x v="1"/>
    <n v="2025"/>
    <s v="Jun"/>
    <s v="26-30"/>
    <s v="&lt;40K"/>
  </r>
  <r>
    <s v="E0549"/>
    <x v="1"/>
    <x v="11"/>
    <x v="1"/>
    <x v="14"/>
    <s v="Mid-Level"/>
    <n v="53391"/>
    <x v="503"/>
    <s v="Diploma"/>
    <x v="6"/>
    <s v="Divorced"/>
    <n v="7"/>
    <n v="5"/>
    <n v="3"/>
    <s v="Good"/>
    <s v="No"/>
    <n v="150"/>
    <n v="35"/>
    <n v="7"/>
    <s v="No"/>
    <s v="Yes"/>
    <x v="1"/>
    <x v="1"/>
    <n v="2022"/>
    <s v="Mar"/>
    <s v="31-35"/>
    <s v="40K-60K"/>
  </r>
  <r>
    <s v="E0550"/>
    <x v="0"/>
    <x v="16"/>
    <x v="6"/>
    <x v="22"/>
    <s v="Manager"/>
    <n v="108590"/>
    <x v="504"/>
    <s v="Bachelor's"/>
    <x v="3"/>
    <s v="Divorced"/>
    <n v="8"/>
    <n v="4"/>
    <n v="4"/>
    <s v="Low"/>
    <s v="No"/>
    <n v="152"/>
    <n v="50"/>
    <n v="17"/>
    <s v="No"/>
    <s v="No"/>
    <x v="1"/>
    <x v="1"/>
    <n v="2026"/>
    <s v="Jun"/>
    <s v="26-30"/>
    <s v="90K-130K"/>
  </r>
  <r>
    <s v="E0551"/>
    <x v="1"/>
    <x v="14"/>
    <x v="1"/>
    <x v="1"/>
    <s v="Junior"/>
    <n v="29480"/>
    <x v="4"/>
    <s v="Bachelor's"/>
    <x v="1"/>
    <s v="Married"/>
    <n v="0"/>
    <n v="3"/>
    <n v="2"/>
    <s v="Good"/>
    <s v="No"/>
    <n v="214"/>
    <n v="62"/>
    <n v="17"/>
    <s v="No"/>
    <s v="No"/>
    <x v="1"/>
    <x v="1"/>
    <n v="2025"/>
    <s v="May"/>
    <s v="31-35"/>
    <s v="&lt;40K"/>
  </r>
  <r>
    <s v="E0552"/>
    <x v="1"/>
    <x v="4"/>
    <x v="7"/>
    <x v="20"/>
    <s v="Senior"/>
    <n v="95064"/>
    <x v="505"/>
    <s v="Diploma"/>
    <x v="5"/>
    <s v="Single"/>
    <n v="5"/>
    <n v="3"/>
    <n v="3"/>
    <s v="Excellent"/>
    <s v="No"/>
    <n v="249"/>
    <n v="33"/>
    <n v="23"/>
    <s v="Yes"/>
    <s v="No"/>
    <x v="0"/>
    <x v="0"/>
    <n v="2022"/>
    <s v="Dec"/>
    <s v="26-30"/>
    <s v="90K-130K"/>
  </r>
  <r>
    <s v="E0553"/>
    <x v="1"/>
    <x v="26"/>
    <x v="7"/>
    <x v="29"/>
    <s v="Mid-Level"/>
    <n v="60926"/>
    <x v="506"/>
    <s v="PhD"/>
    <x v="1"/>
    <s v="Married"/>
    <n v="7"/>
    <n v="3"/>
    <n v="2"/>
    <s v="Excellent"/>
    <s v="No"/>
    <n v="161"/>
    <n v="72"/>
    <n v="7"/>
    <s v="No"/>
    <s v="No"/>
    <x v="1"/>
    <x v="1"/>
    <n v="2023"/>
    <s v="Oct"/>
    <s v="36-40"/>
    <s v="60K-90K"/>
  </r>
  <r>
    <s v="E0554"/>
    <x v="1"/>
    <x v="8"/>
    <x v="4"/>
    <x v="18"/>
    <s v="Senior"/>
    <n v="85271"/>
    <x v="507"/>
    <s v="PhD"/>
    <x v="4"/>
    <s v="Married"/>
    <n v="8"/>
    <n v="5"/>
    <n v="5"/>
    <s v="Low"/>
    <s v="No"/>
    <n v="193"/>
    <n v="6"/>
    <n v="17"/>
    <s v="No"/>
    <s v="Yes"/>
    <x v="1"/>
    <x v="1"/>
    <n v="2019"/>
    <s v="Jun"/>
    <s v="31-35"/>
    <s v="60K-90K"/>
  </r>
  <r>
    <s v="E0555"/>
    <x v="1"/>
    <x v="11"/>
    <x v="6"/>
    <x v="22"/>
    <s v="Mid-Level"/>
    <n v="51949"/>
    <x v="508"/>
    <s v="Diploma"/>
    <x v="1"/>
    <s v="Single"/>
    <n v="5"/>
    <n v="1"/>
    <n v="3"/>
    <s v="Excellent"/>
    <s v="Yes"/>
    <n v="208"/>
    <n v="44"/>
    <n v="2"/>
    <s v="No"/>
    <s v="Yes"/>
    <x v="1"/>
    <x v="1"/>
    <n v="2022"/>
    <s v="Mar"/>
    <s v="31-35"/>
    <s v="40K-60K"/>
  </r>
  <r>
    <s v="E0556"/>
    <x v="0"/>
    <x v="17"/>
    <x v="0"/>
    <x v="0"/>
    <s v="Mid-Level"/>
    <n v="53475"/>
    <x v="509"/>
    <s v="Master's"/>
    <x v="7"/>
    <s v="Divorced"/>
    <n v="4"/>
    <n v="5"/>
    <n v="2"/>
    <s v="Low"/>
    <s v="Yes"/>
    <n v="241"/>
    <n v="42"/>
    <n v="9"/>
    <s v="Yes"/>
    <s v="No"/>
    <x v="0"/>
    <x v="0"/>
    <n v="2024"/>
    <s v="Aug"/>
    <s v="26-30"/>
    <s v="40K-60K"/>
  </r>
  <r>
    <s v="E0557"/>
    <x v="1"/>
    <x v="7"/>
    <x v="3"/>
    <x v="21"/>
    <s v="Manager"/>
    <n v="145386"/>
    <x v="510"/>
    <s v="MBA"/>
    <x v="3"/>
    <s v="Divorced"/>
    <n v="14"/>
    <n v="3"/>
    <n v="3"/>
    <s v="Average"/>
    <s v="No"/>
    <n v="189"/>
    <n v="37"/>
    <n v="6"/>
    <s v="No"/>
    <s v="No"/>
    <x v="1"/>
    <x v="1"/>
    <n v="2020"/>
    <s v="Feb"/>
    <s v="26-30"/>
    <s v="130K+"/>
  </r>
  <r>
    <s v="E0558"/>
    <x v="1"/>
    <x v="7"/>
    <x v="5"/>
    <x v="28"/>
    <s v="Senior"/>
    <n v="102136"/>
    <x v="511"/>
    <s v="MBA"/>
    <x v="4"/>
    <s v="Married"/>
    <n v="12"/>
    <n v="2"/>
    <n v="4"/>
    <s v="Good"/>
    <s v="No"/>
    <n v="162"/>
    <n v="59"/>
    <n v="16"/>
    <s v="No"/>
    <s v="No"/>
    <x v="1"/>
    <x v="2"/>
    <n v="2025"/>
    <s v="Feb"/>
    <s v="26-30"/>
    <s v="90K-130K"/>
  </r>
  <r>
    <s v="E0559"/>
    <x v="1"/>
    <x v="11"/>
    <x v="0"/>
    <x v="10"/>
    <s v="Manager"/>
    <n v="101590"/>
    <x v="512"/>
    <s v="Diploma"/>
    <x v="2"/>
    <s v="Single"/>
    <n v="20"/>
    <n v="5"/>
    <n v="3"/>
    <s v="Excellent"/>
    <s v="Yes"/>
    <n v="224"/>
    <n v="21"/>
    <n v="14"/>
    <s v="No"/>
    <s v="No"/>
    <x v="0"/>
    <x v="0"/>
    <n v="2020"/>
    <s v="Jul"/>
    <s v="31-35"/>
    <s v="90K-130K"/>
  </r>
  <r>
    <s v="E0560"/>
    <x v="0"/>
    <x v="17"/>
    <x v="7"/>
    <x v="17"/>
    <s v="Junior"/>
    <n v="30774"/>
    <x v="513"/>
    <s v="MBA"/>
    <x v="5"/>
    <s v="Single"/>
    <n v="0"/>
    <n v="1"/>
    <n v="3"/>
    <s v="Low"/>
    <s v="No"/>
    <n v="162"/>
    <n v="31"/>
    <n v="18"/>
    <s v="Yes"/>
    <s v="No"/>
    <x v="1"/>
    <x v="2"/>
    <n v="2022"/>
    <s v="Jan"/>
    <s v="26-30"/>
    <s v="&lt;40K"/>
  </r>
  <r>
    <s v="E0561"/>
    <x v="0"/>
    <x v="11"/>
    <x v="1"/>
    <x v="14"/>
    <s v="Senior"/>
    <n v="106172"/>
    <x v="514"/>
    <s v="Master's"/>
    <x v="1"/>
    <s v="Divorced"/>
    <n v="9"/>
    <n v="4"/>
    <n v="5"/>
    <s v="Low"/>
    <s v="No"/>
    <n v="175"/>
    <n v="36"/>
    <n v="8"/>
    <s v="Yes"/>
    <s v="Yes"/>
    <x v="1"/>
    <x v="2"/>
    <n v="2019"/>
    <s v="Jan"/>
    <s v="31-35"/>
    <s v="90K-130K"/>
  </r>
  <r>
    <s v="E0562"/>
    <x v="0"/>
    <x v="30"/>
    <x v="7"/>
    <x v="17"/>
    <s v="Junior"/>
    <n v="31991"/>
    <x v="515"/>
    <s v="PhD"/>
    <x v="1"/>
    <s v="Married"/>
    <n v="2"/>
    <n v="4"/>
    <n v="2"/>
    <s v="Average"/>
    <s v="Yes"/>
    <n v="257"/>
    <n v="7"/>
    <n v="7"/>
    <s v="Yes"/>
    <s v="No"/>
    <x v="1"/>
    <x v="1"/>
    <n v="2023"/>
    <s v="Jul"/>
    <s v="41-50"/>
    <s v="&lt;40K"/>
  </r>
  <r>
    <s v="E0563"/>
    <x v="0"/>
    <x v="21"/>
    <x v="1"/>
    <x v="1"/>
    <s v="Manager"/>
    <n v="128015"/>
    <x v="516"/>
    <s v="Bachelor's"/>
    <x v="6"/>
    <s v="Married"/>
    <n v="12"/>
    <n v="1"/>
    <n v="5"/>
    <s v="Excellent"/>
    <s v="No"/>
    <n v="197"/>
    <n v="23"/>
    <n v="2"/>
    <s v="No"/>
    <s v="No"/>
    <x v="1"/>
    <x v="2"/>
    <n v="2026"/>
    <s v="Jun"/>
    <s v="36-40"/>
    <s v="90K-130K"/>
  </r>
  <r>
    <s v="E0564"/>
    <x v="0"/>
    <x v="17"/>
    <x v="4"/>
    <x v="27"/>
    <s v="Senior"/>
    <n v="67233"/>
    <x v="517"/>
    <s v="Master's"/>
    <x v="4"/>
    <s v="Divorced"/>
    <n v="14"/>
    <n v="1"/>
    <n v="3"/>
    <s v="Average"/>
    <s v="Yes"/>
    <n v="209"/>
    <n v="49"/>
    <n v="30"/>
    <s v="No"/>
    <s v="No"/>
    <x v="1"/>
    <x v="2"/>
    <n v="2023"/>
    <s v="Dec"/>
    <s v="26-30"/>
    <s v="60K-90K"/>
  </r>
  <r>
    <s v="E0565"/>
    <x v="0"/>
    <x v="26"/>
    <x v="6"/>
    <x v="26"/>
    <s v="Senior"/>
    <n v="107987"/>
    <x v="357"/>
    <s v="Bachelor's"/>
    <x v="6"/>
    <s v="Married"/>
    <n v="14"/>
    <n v="4"/>
    <n v="2"/>
    <s v="Excellent"/>
    <s v="No"/>
    <n v="250"/>
    <n v="28"/>
    <n v="20"/>
    <s v="No"/>
    <s v="No"/>
    <x v="1"/>
    <x v="1"/>
    <n v="2022"/>
    <s v="Oct"/>
    <s v="36-40"/>
    <s v="90K-130K"/>
  </r>
  <r>
    <s v="E0566"/>
    <x v="0"/>
    <x v="17"/>
    <x v="3"/>
    <x v="3"/>
    <s v="Manager"/>
    <n v="98856"/>
    <x v="518"/>
    <s v="PhD"/>
    <x v="4"/>
    <s v="Single"/>
    <n v="8"/>
    <n v="2"/>
    <n v="2"/>
    <s v="Average"/>
    <s v="Yes"/>
    <n v="235"/>
    <n v="18"/>
    <n v="30"/>
    <s v="Yes"/>
    <s v="Yes"/>
    <x v="1"/>
    <x v="2"/>
    <n v="2019"/>
    <s v="May"/>
    <s v="26-30"/>
    <s v="90K-130K"/>
  </r>
  <r>
    <s v="E0567"/>
    <x v="1"/>
    <x v="9"/>
    <x v="2"/>
    <x v="23"/>
    <s v="Senior"/>
    <n v="72502"/>
    <x v="519"/>
    <s v="MBA"/>
    <x v="1"/>
    <s v="Divorced"/>
    <n v="5"/>
    <n v="4"/>
    <n v="3"/>
    <s v="Excellent"/>
    <s v="No"/>
    <n v="230"/>
    <n v="53"/>
    <n v="6"/>
    <s v="No"/>
    <s v="Yes"/>
    <x v="1"/>
    <x v="1"/>
    <n v="2019"/>
    <s v="Oct"/>
    <s v="21-25"/>
    <s v="60K-90K"/>
  </r>
  <r>
    <s v="E0568"/>
    <x v="0"/>
    <x v="10"/>
    <x v="5"/>
    <x v="25"/>
    <s v="Manager"/>
    <n v="127498"/>
    <x v="520"/>
    <s v="Bachelor's"/>
    <x v="1"/>
    <s v="Single"/>
    <n v="11"/>
    <n v="2"/>
    <n v="4"/>
    <s v="Low"/>
    <s v="No"/>
    <n v="253"/>
    <n v="22"/>
    <n v="30"/>
    <s v="Yes"/>
    <s v="No"/>
    <x v="0"/>
    <x v="0"/>
    <n v="2021"/>
    <s v="Apr"/>
    <s v="21-25"/>
    <s v="90K-130K"/>
  </r>
  <r>
    <s v="E0569"/>
    <x v="1"/>
    <x v="9"/>
    <x v="4"/>
    <x v="27"/>
    <s v="Senior"/>
    <n v="77144"/>
    <x v="521"/>
    <s v="MBA"/>
    <x v="3"/>
    <s v="Single"/>
    <n v="13"/>
    <n v="2"/>
    <n v="2"/>
    <s v="Excellent"/>
    <s v="No"/>
    <n v="255"/>
    <n v="59"/>
    <n v="22"/>
    <s v="No"/>
    <s v="No"/>
    <x v="1"/>
    <x v="1"/>
    <n v="2024"/>
    <s v="Jul"/>
    <s v="21-25"/>
    <s v="60K-90K"/>
  </r>
  <r>
    <s v="E0570"/>
    <x v="0"/>
    <x v="17"/>
    <x v="6"/>
    <x v="22"/>
    <s v="Junior"/>
    <n v="31864"/>
    <x v="522"/>
    <s v="MBA"/>
    <x v="2"/>
    <s v="Married"/>
    <n v="3"/>
    <n v="1"/>
    <n v="5"/>
    <s v="Good"/>
    <s v="No"/>
    <n v="192"/>
    <n v="13"/>
    <n v="29"/>
    <s v="Yes"/>
    <s v="Yes"/>
    <x v="1"/>
    <x v="1"/>
    <n v="2021"/>
    <s v="Aug"/>
    <s v="26-30"/>
    <s v="&lt;40K"/>
  </r>
  <r>
    <s v="E0571"/>
    <x v="0"/>
    <x v="14"/>
    <x v="1"/>
    <x v="11"/>
    <s v="Manager"/>
    <n v="97424"/>
    <x v="163"/>
    <s v="PhD"/>
    <x v="2"/>
    <s v="Single"/>
    <n v="16"/>
    <n v="5"/>
    <n v="4"/>
    <s v="Good"/>
    <s v="No"/>
    <n v="233"/>
    <n v="12"/>
    <n v="6"/>
    <s v="Yes"/>
    <s v="Yes"/>
    <x v="0"/>
    <x v="0"/>
    <n v="2020"/>
    <s v="Mar"/>
    <s v="31-35"/>
    <s v="90K-130K"/>
  </r>
  <r>
    <s v="E0572"/>
    <x v="1"/>
    <x v="5"/>
    <x v="0"/>
    <x v="9"/>
    <s v="Manager"/>
    <n v="99556"/>
    <x v="523"/>
    <s v="Diploma"/>
    <x v="1"/>
    <s v="Divorced"/>
    <n v="20"/>
    <n v="5"/>
    <n v="1"/>
    <s v="Excellent"/>
    <s v="No"/>
    <n v="159"/>
    <n v="21"/>
    <n v="10"/>
    <s v="No"/>
    <s v="No"/>
    <x v="1"/>
    <x v="1"/>
    <n v="2025"/>
    <s v="Apr"/>
    <s v="41-50"/>
    <s v="90K-130K"/>
  </r>
  <r>
    <s v="E0573"/>
    <x v="0"/>
    <x v="11"/>
    <x v="0"/>
    <x v="16"/>
    <s v="Mid-Level"/>
    <n v="63310"/>
    <x v="524"/>
    <s v="Master's"/>
    <x v="7"/>
    <s v="Divorced"/>
    <n v="4"/>
    <n v="4"/>
    <n v="3"/>
    <s v="Low"/>
    <s v="Yes"/>
    <n v="152"/>
    <n v="75"/>
    <n v="17"/>
    <s v="Yes"/>
    <s v="Yes"/>
    <x v="0"/>
    <x v="0"/>
    <n v="2023"/>
    <s v="Nov"/>
    <s v="31-35"/>
    <s v="60K-90K"/>
  </r>
  <r>
    <s v="E0574"/>
    <x v="1"/>
    <x v="4"/>
    <x v="4"/>
    <x v="19"/>
    <s v="Manager"/>
    <n v="145945"/>
    <x v="525"/>
    <s v="MBA"/>
    <x v="7"/>
    <s v="Single"/>
    <n v="16"/>
    <n v="1"/>
    <n v="4"/>
    <s v="Average"/>
    <s v="Yes"/>
    <n v="228"/>
    <n v="34"/>
    <n v="4"/>
    <s v="No"/>
    <s v="No"/>
    <x v="1"/>
    <x v="1"/>
    <n v="2020"/>
    <s v="Jul"/>
    <s v="26-30"/>
    <s v="130K+"/>
  </r>
  <r>
    <s v="E0575"/>
    <x v="0"/>
    <x v="6"/>
    <x v="4"/>
    <x v="27"/>
    <s v="Junior"/>
    <n v="36189"/>
    <x v="526"/>
    <s v="MBA"/>
    <x v="0"/>
    <s v="Married"/>
    <n v="0"/>
    <n v="1"/>
    <n v="2"/>
    <s v="Average"/>
    <s v="No"/>
    <n v="173"/>
    <n v="55"/>
    <n v="17"/>
    <s v="No"/>
    <s v="No"/>
    <x v="0"/>
    <x v="0"/>
    <n v="2019"/>
    <s v="Nov"/>
    <s v="36-40"/>
    <s v="&lt;40K"/>
  </r>
  <r>
    <s v="E0576"/>
    <x v="0"/>
    <x v="9"/>
    <x v="2"/>
    <x v="23"/>
    <s v="Senior"/>
    <n v="100628"/>
    <x v="527"/>
    <s v="Diploma"/>
    <x v="2"/>
    <s v="Divorced"/>
    <n v="8"/>
    <n v="3"/>
    <n v="2"/>
    <s v="Average"/>
    <s v="No"/>
    <n v="241"/>
    <n v="72"/>
    <n v="30"/>
    <s v="No"/>
    <s v="No"/>
    <x v="1"/>
    <x v="1"/>
    <n v="2024"/>
    <s v="Jul"/>
    <s v="21-25"/>
    <s v="90K-130K"/>
  </r>
  <r>
    <s v="E0577"/>
    <x v="0"/>
    <x v="8"/>
    <x v="0"/>
    <x v="0"/>
    <s v="Manager"/>
    <n v="153728"/>
    <x v="528"/>
    <s v="Master's"/>
    <x v="1"/>
    <s v="Married"/>
    <n v="12"/>
    <n v="2"/>
    <n v="2"/>
    <s v="Average"/>
    <s v="No"/>
    <n v="179"/>
    <n v="9"/>
    <n v="9"/>
    <s v="No"/>
    <s v="No"/>
    <x v="1"/>
    <x v="2"/>
    <n v="2019"/>
    <s v="Nov"/>
    <s v="31-35"/>
    <s v="130K+"/>
  </r>
  <r>
    <s v="E0578"/>
    <x v="1"/>
    <x v="6"/>
    <x v="2"/>
    <x v="23"/>
    <s v="Manager"/>
    <n v="94424"/>
    <x v="529"/>
    <s v="Diploma"/>
    <x v="7"/>
    <s v="Married"/>
    <n v="12"/>
    <n v="5"/>
    <n v="4"/>
    <s v="Low"/>
    <s v="No"/>
    <n v="255"/>
    <n v="53"/>
    <n v="14"/>
    <s v="No"/>
    <s v="Yes"/>
    <x v="0"/>
    <x v="0"/>
    <n v="2022"/>
    <s v="Feb"/>
    <s v="36-40"/>
    <s v="90K-130K"/>
  </r>
  <r>
    <s v="E0579"/>
    <x v="0"/>
    <x v="9"/>
    <x v="1"/>
    <x v="14"/>
    <s v="Manager"/>
    <n v="114173"/>
    <x v="530"/>
    <s v="MBA"/>
    <x v="5"/>
    <s v="Divorced"/>
    <n v="18"/>
    <n v="5"/>
    <n v="1"/>
    <s v="Good"/>
    <s v="No"/>
    <n v="189"/>
    <n v="38"/>
    <n v="27"/>
    <s v="No"/>
    <s v="Yes"/>
    <x v="1"/>
    <x v="1"/>
    <n v="2023"/>
    <s v="Nov"/>
    <s v="21-25"/>
    <s v="90K-130K"/>
  </r>
  <r>
    <s v="E0580"/>
    <x v="0"/>
    <x v="26"/>
    <x v="3"/>
    <x v="4"/>
    <s v="Manager"/>
    <n v="97486"/>
    <x v="531"/>
    <s v="Diploma"/>
    <x v="6"/>
    <s v="Married"/>
    <n v="20"/>
    <n v="5"/>
    <n v="4"/>
    <s v="Good"/>
    <s v="No"/>
    <n v="236"/>
    <n v="25"/>
    <n v="14"/>
    <s v="No"/>
    <s v="No"/>
    <x v="1"/>
    <x v="1"/>
    <n v="2020"/>
    <s v="Mar"/>
    <s v="36-40"/>
    <s v="90K-130K"/>
  </r>
  <r>
    <s v="E0581"/>
    <x v="0"/>
    <x v="11"/>
    <x v="0"/>
    <x v="0"/>
    <s v="Senior"/>
    <n v="70605"/>
    <x v="532"/>
    <s v="MBA"/>
    <x v="2"/>
    <s v="Divorced"/>
    <n v="8"/>
    <n v="3"/>
    <n v="3"/>
    <s v="Good"/>
    <s v="No"/>
    <n v="200"/>
    <n v="6"/>
    <n v="5"/>
    <s v="No"/>
    <s v="Yes"/>
    <x v="1"/>
    <x v="1"/>
    <n v="2025"/>
    <s v="Feb"/>
    <s v="31-35"/>
    <s v="60K-90K"/>
  </r>
  <r>
    <s v="E0582"/>
    <x v="1"/>
    <x v="17"/>
    <x v="6"/>
    <x v="24"/>
    <s v="Manager"/>
    <n v="92263"/>
    <x v="533"/>
    <s v="Diploma"/>
    <x v="1"/>
    <s v="Married"/>
    <n v="15"/>
    <n v="4"/>
    <n v="1"/>
    <s v="Good"/>
    <s v="No"/>
    <n v="211"/>
    <n v="13"/>
    <n v="16"/>
    <s v="Yes"/>
    <s v="No"/>
    <x v="1"/>
    <x v="1"/>
    <n v="2019"/>
    <s v="Feb"/>
    <s v="26-30"/>
    <s v="90K-130K"/>
  </r>
  <r>
    <s v="E0583"/>
    <x v="1"/>
    <x v="2"/>
    <x v="5"/>
    <x v="25"/>
    <s v="Mid-Level"/>
    <n v="49452"/>
    <x v="534"/>
    <s v="Bachelor's"/>
    <x v="3"/>
    <s v="Divorced"/>
    <n v="7"/>
    <n v="2"/>
    <n v="5"/>
    <s v="Excellent"/>
    <s v="No"/>
    <n v="156"/>
    <n v="79"/>
    <n v="12"/>
    <s v="Yes"/>
    <s v="No"/>
    <x v="0"/>
    <x v="0"/>
    <n v="2020"/>
    <s v="Dec"/>
    <s v="36-40"/>
    <s v="40K-60K"/>
  </r>
  <r>
    <s v="E0584"/>
    <x v="0"/>
    <x v="25"/>
    <x v="0"/>
    <x v="0"/>
    <s v="Senior"/>
    <n v="66056"/>
    <x v="535"/>
    <s v="PhD"/>
    <x v="1"/>
    <s v="Divorced"/>
    <n v="10"/>
    <n v="1"/>
    <n v="5"/>
    <s v="Low"/>
    <s v="Yes"/>
    <n v="194"/>
    <n v="35"/>
    <n v="8"/>
    <s v="No"/>
    <s v="Yes"/>
    <x v="0"/>
    <x v="0"/>
    <n v="2025"/>
    <s v="Jan"/>
    <s v="41-50"/>
    <s v="60K-90K"/>
  </r>
  <r>
    <s v="E0585"/>
    <x v="1"/>
    <x v="8"/>
    <x v="4"/>
    <x v="27"/>
    <s v="Manager"/>
    <n v="127104"/>
    <x v="536"/>
    <s v="MBA"/>
    <x v="6"/>
    <s v="Married"/>
    <n v="10"/>
    <n v="3"/>
    <n v="5"/>
    <s v="Low"/>
    <s v="No"/>
    <n v="192"/>
    <n v="25"/>
    <n v="13"/>
    <s v="Yes"/>
    <s v="No"/>
    <x v="1"/>
    <x v="1"/>
    <n v="2019"/>
    <s v="Apr"/>
    <s v="31-35"/>
    <s v="90K-130K"/>
  </r>
  <r>
    <s v="E0586"/>
    <x v="0"/>
    <x v="8"/>
    <x v="0"/>
    <x v="10"/>
    <s v="Mid-Level"/>
    <n v="68477"/>
    <x v="218"/>
    <s v="Diploma"/>
    <x v="5"/>
    <s v="Divorced"/>
    <n v="4"/>
    <n v="5"/>
    <n v="5"/>
    <s v="Average"/>
    <s v="No"/>
    <n v="194"/>
    <n v="53"/>
    <n v="26"/>
    <s v="No"/>
    <s v="No"/>
    <x v="1"/>
    <x v="1"/>
    <n v="2024"/>
    <s v="Sep"/>
    <s v="31-35"/>
    <s v="60K-90K"/>
  </r>
  <r>
    <s v="E0587"/>
    <x v="0"/>
    <x v="7"/>
    <x v="1"/>
    <x v="1"/>
    <s v="Junior"/>
    <n v="29685"/>
    <x v="537"/>
    <s v="Diploma"/>
    <x v="2"/>
    <s v="Single"/>
    <n v="3"/>
    <n v="5"/>
    <n v="5"/>
    <s v="Good"/>
    <s v="No"/>
    <n v="190"/>
    <n v="36"/>
    <n v="27"/>
    <s v="No"/>
    <s v="No"/>
    <x v="1"/>
    <x v="1"/>
    <n v="2026"/>
    <s v="May"/>
    <s v="26-30"/>
    <s v="&lt;40K"/>
  </r>
  <r>
    <s v="E0588"/>
    <x v="1"/>
    <x v="19"/>
    <x v="3"/>
    <x v="15"/>
    <s v="Mid-Level"/>
    <n v="56582"/>
    <x v="538"/>
    <s v="PhD"/>
    <x v="0"/>
    <s v="Married"/>
    <n v="7"/>
    <n v="3"/>
    <n v="1"/>
    <s v="Excellent"/>
    <s v="No"/>
    <n v="221"/>
    <n v="34"/>
    <n v="20"/>
    <s v="Yes"/>
    <s v="Yes"/>
    <x v="1"/>
    <x v="1"/>
    <n v="2023"/>
    <s v="Aug"/>
    <s v="26-30"/>
    <s v="40K-60K"/>
  </r>
  <r>
    <s v="E0589"/>
    <x v="1"/>
    <x v="6"/>
    <x v="6"/>
    <x v="22"/>
    <s v="Senior"/>
    <n v="87385"/>
    <x v="539"/>
    <s v="Master's"/>
    <x v="3"/>
    <s v="Married"/>
    <n v="10"/>
    <n v="1"/>
    <n v="4"/>
    <s v="Low"/>
    <s v="No"/>
    <n v="214"/>
    <n v="26"/>
    <n v="5"/>
    <s v="No"/>
    <s v="No"/>
    <x v="1"/>
    <x v="1"/>
    <n v="2020"/>
    <s v="Apr"/>
    <s v="36-40"/>
    <s v="60K-90K"/>
  </r>
  <r>
    <s v="E0590"/>
    <x v="1"/>
    <x v="19"/>
    <x v="2"/>
    <x v="12"/>
    <s v="Junior"/>
    <n v="42136"/>
    <x v="540"/>
    <s v="MBA"/>
    <x v="3"/>
    <s v="Married"/>
    <n v="0"/>
    <n v="1"/>
    <n v="2"/>
    <s v="Average"/>
    <s v="No"/>
    <n v="260"/>
    <n v="42"/>
    <n v="5"/>
    <s v="No"/>
    <s v="No"/>
    <x v="1"/>
    <x v="1"/>
    <n v="2020"/>
    <s v="Nov"/>
    <s v="26-30"/>
    <s v="40K-60K"/>
  </r>
  <r>
    <s v="E0591"/>
    <x v="0"/>
    <x v="14"/>
    <x v="0"/>
    <x v="10"/>
    <s v="Senior"/>
    <n v="94418"/>
    <x v="541"/>
    <s v="Master's"/>
    <x v="1"/>
    <s v="Single"/>
    <n v="11"/>
    <n v="4"/>
    <n v="4"/>
    <s v="Low"/>
    <s v="No"/>
    <n v="246"/>
    <n v="80"/>
    <n v="20"/>
    <s v="No"/>
    <s v="No"/>
    <x v="1"/>
    <x v="2"/>
    <n v="2026"/>
    <s v="Jan"/>
    <s v="31-35"/>
    <s v="90K-130K"/>
  </r>
  <r>
    <s v="E0592"/>
    <x v="1"/>
    <x v="7"/>
    <x v="3"/>
    <x v="4"/>
    <s v="Mid-Level"/>
    <n v="58668"/>
    <x v="542"/>
    <s v="Diploma"/>
    <x v="7"/>
    <s v="Married"/>
    <n v="7"/>
    <n v="3"/>
    <n v="1"/>
    <s v="Good"/>
    <s v="Yes"/>
    <n v="188"/>
    <n v="54"/>
    <n v="12"/>
    <s v="Yes"/>
    <s v="No"/>
    <x v="1"/>
    <x v="1"/>
    <n v="2025"/>
    <s v="Aug"/>
    <s v="26-30"/>
    <s v="40K-60K"/>
  </r>
  <r>
    <s v="E0593"/>
    <x v="0"/>
    <x v="0"/>
    <x v="1"/>
    <x v="1"/>
    <s v="Senior"/>
    <n v="102692"/>
    <x v="334"/>
    <s v="PhD"/>
    <x v="6"/>
    <s v="Single"/>
    <n v="14"/>
    <n v="1"/>
    <n v="3"/>
    <s v="Average"/>
    <s v="No"/>
    <n v="171"/>
    <n v="41"/>
    <n v="10"/>
    <s v="No"/>
    <s v="Yes"/>
    <x v="1"/>
    <x v="1"/>
    <n v="2022"/>
    <s v="Jul"/>
    <s v="31-35"/>
    <s v="90K-130K"/>
  </r>
  <r>
    <s v="E0594"/>
    <x v="0"/>
    <x v="11"/>
    <x v="5"/>
    <x v="13"/>
    <s v="Junior"/>
    <n v="34777"/>
    <x v="543"/>
    <s v="Bachelor's"/>
    <x v="4"/>
    <s v="Single"/>
    <n v="1"/>
    <n v="5"/>
    <n v="1"/>
    <s v="Good"/>
    <s v="No"/>
    <n v="218"/>
    <n v="78"/>
    <n v="15"/>
    <s v="No"/>
    <s v="No"/>
    <x v="0"/>
    <x v="0"/>
    <n v="2019"/>
    <s v="Apr"/>
    <s v="31-35"/>
    <s v="&lt;40K"/>
  </r>
  <r>
    <s v="E0595"/>
    <x v="1"/>
    <x v="20"/>
    <x v="6"/>
    <x v="24"/>
    <s v="Senior"/>
    <n v="72183"/>
    <x v="517"/>
    <s v="Bachelor's"/>
    <x v="4"/>
    <s v="Single"/>
    <n v="6"/>
    <n v="4"/>
    <n v="4"/>
    <s v="Average"/>
    <s v="No"/>
    <n v="161"/>
    <n v="14"/>
    <n v="12"/>
    <s v="Yes"/>
    <s v="No"/>
    <x v="1"/>
    <x v="1"/>
    <n v="2023"/>
    <s v="Dec"/>
    <s v="36-40"/>
    <s v="60K-90K"/>
  </r>
  <r>
    <s v="E0596"/>
    <x v="1"/>
    <x v="7"/>
    <x v="7"/>
    <x v="29"/>
    <s v="Senior"/>
    <n v="67513"/>
    <x v="544"/>
    <s v="Bachelor's"/>
    <x v="0"/>
    <s v="Single"/>
    <n v="11"/>
    <n v="5"/>
    <n v="3"/>
    <s v="Excellent"/>
    <s v="Yes"/>
    <n v="257"/>
    <n v="33"/>
    <n v="23"/>
    <s v="Yes"/>
    <s v="Yes"/>
    <x v="1"/>
    <x v="1"/>
    <n v="2020"/>
    <s v="Feb"/>
    <s v="26-30"/>
    <s v="60K-90K"/>
  </r>
  <r>
    <s v="E0597"/>
    <x v="1"/>
    <x v="4"/>
    <x v="6"/>
    <x v="24"/>
    <s v="Mid-Level"/>
    <n v="66037"/>
    <x v="545"/>
    <s v="Bachelor's"/>
    <x v="6"/>
    <s v="Divorced"/>
    <n v="5"/>
    <n v="2"/>
    <n v="2"/>
    <s v="Average"/>
    <s v="No"/>
    <n v="161"/>
    <n v="27"/>
    <n v="3"/>
    <s v="No"/>
    <s v="No"/>
    <x v="0"/>
    <x v="0"/>
    <n v="2022"/>
    <s v="Mar"/>
    <s v="26-30"/>
    <s v="60K-90K"/>
  </r>
  <r>
    <s v="E0598"/>
    <x v="1"/>
    <x v="12"/>
    <x v="4"/>
    <x v="19"/>
    <s v="Senior"/>
    <n v="96734"/>
    <x v="250"/>
    <s v="PhD"/>
    <x v="4"/>
    <s v="Divorced"/>
    <n v="13"/>
    <n v="2"/>
    <n v="3"/>
    <s v="Excellent"/>
    <s v="Yes"/>
    <n v="187"/>
    <n v="42"/>
    <n v="5"/>
    <s v="Yes"/>
    <s v="No"/>
    <x v="1"/>
    <x v="1"/>
    <n v="2026"/>
    <s v="May"/>
    <s v="21-25"/>
    <s v="90K-130K"/>
  </r>
  <r>
    <s v="E0599"/>
    <x v="1"/>
    <x v="7"/>
    <x v="4"/>
    <x v="18"/>
    <s v="Senior"/>
    <n v="81213"/>
    <x v="546"/>
    <s v="PhD"/>
    <x v="3"/>
    <s v="Married"/>
    <n v="11"/>
    <n v="2"/>
    <n v="4"/>
    <s v="Excellent"/>
    <s v="No"/>
    <n v="234"/>
    <n v="57"/>
    <n v="23"/>
    <s v="Yes"/>
    <s v="Yes"/>
    <x v="1"/>
    <x v="1"/>
    <n v="2020"/>
    <s v="Apr"/>
    <s v="26-30"/>
    <s v="60K-90K"/>
  </r>
  <r>
    <s v="E0600"/>
    <x v="1"/>
    <x v="11"/>
    <x v="5"/>
    <x v="13"/>
    <s v="Manager"/>
    <n v="97969"/>
    <x v="547"/>
    <s v="MBA"/>
    <x v="5"/>
    <s v="Married"/>
    <n v="16"/>
    <n v="3"/>
    <n v="3"/>
    <s v="Excellent"/>
    <s v="No"/>
    <n v="200"/>
    <n v="33"/>
    <n v="12"/>
    <s v="No"/>
    <s v="No"/>
    <x v="1"/>
    <x v="1"/>
    <n v="2022"/>
    <s v="Aug"/>
    <s v="31-35"/>
    <s v="90K-130K"/>
  </r>
  <r>
    <s v="E0601"/>
    <x v="1"/>
    <x v="6"/>
    <x v="7"/>
    <x v="17"/>
    <s v="Mid-Level"/>
    <n v="60759"/>
    <x v="548"/>
    <s v="Diploma"/>
    <x v="5"/>
    <s v="Divorced"/>
    <n v="3"/>
    <n v="2"/>
    <n v="1"/>
    <s v="Low"/>
    <s v="No"/>
    <n v="228"/>
    <n v="53"/>
    <n v="4"/>
    <s v="No"/>
    <s v="No"/>
    <x v="0"/>
    <x v="0"/>
    <n v="2025"/>
    <s v="Jan"/>
    <s v="36-40"/>
    <s v="60K-90K"/>
  </r>
  <r>
    <s v="E0602"/>
    <x v="1"/>
    <x v="12"/>
    <x v="3"/>
    <x v="15"/>
    <s v="Junior"/>
    <n v="44995"/>
    <x v="549"/>
    <s v="Master's"/>
    <x v="2"/>
    <s v="Single"/>
    <n v="1"/>
    <n v="5"/>
    <n v="2"/>
    <s v="Good"/>
    <s v="Yes"/>
    <n v="257"/>
    <n v="47"/>
    <n v="15"/>
    <s v="Yes"/>
    <s v="No"/>
    <x v="1"/>
    <x v="1"/>
    <n v="2023"/>
    <s v="Jan"/>
    <s v="21-25"/>
    <s v="40K-60K"/>
  </r>
  <r>
    <s v="E0603"/>
    <x v="0"/>
    <x v="21"/>
    <x v="0"/>
    <x v="10"/>
    <s v="Junior"/>
    <n v="44433"/>
    <x v="550"/>
    <s v="Master's"/>
    <x v="5"/>
    <s v="Married"/>
    <n v="3"/>
    <n v="1"/>
    <n v="2"/>
    <s v="Low"/>
    <s v="No"/>
    <n v="188"/>
    <n v="53"/>
    <n v="22"/>
    <s v="No"/>
    <s v="Yes"/>
    <x v="1"/>
    <x v="1"/>
    <n v="2024"/>
    <s v="Jun"/>
    <s v="36-40"/>
    <s v="40K-60K"/>
  </r>
  <r>
    <s v="E0604"/>
    <x v="1"/>
    <x v="22"/>
    <x v="2"/>
    <x v="23"/>
    <s v="Junior"/>
    <n v="44531"/>
    <x v="551"/>
    <s v="PhD"/>
    <x v="0"/>
    <s v="Divorced"/>
    <n v="3"/>
    <n v="1"/>
    <n v="5"/>
    <s v="Good"/>
    <s v="No"/>
    <n v="169"/>
    <n v="46"/>
    <n v="15"/>
    <s v="No"/>
    <s v="Yes"/>
    <x v="1"/>
    <x v="1"/>
    <n v="2019"/>
    <s v="Mar"/>
    <s v="41-50"/>
    <s v="40K-60K"/>
  </r>
  <r>
    <s v="E0605"/>
    <x v="1"/>
    <x v="11"/>
    <x v="5"/>
    <x v="25"/>
    <s v="Mid-Level"/>
    <n v="45266"/>
    <x v="180"/>
    <s v="PhD"/>
    <x v="2"/>
    <s v="Married"/>
    <n v="4"/>
    <n v="5"/>
    <n v="4"/>
    <s v="Good"/>
    <s v="No"/>
    <n v="187"/>
    <n v="73"/>
    <n v="18"/>
    <s v="Yes"/>
    <s v="No"/>
    <x v="1"/>
    <x v="2"/>
    <n v="2026"/>
    <s v="May"/>
    <s v="31-35"/>
    <s v="40K-60K"/>
  </r>
  <r>
    <s v="E0606"/>
    <x v="0"/>
    <x v="23"/>
    <x v="7"/>
    <x v="17"/>
    <s v="Senior"/>
    <n v="100820"/>
    <x v="552"/>
    <s v="PhD"/>
    <x v="1"/>
    <s v="Divorced"/>
    <n v="6"/>
    <n v="2"/>
    <n v="5"/>
    <s v="Good"/>
    <s v="Yes"/>
    <n v="200"/>
    <n v="47"/>
    <n v="6"/>
    <s v="No"/>
    <s v="No"/>
    <x v="1"/>
    <x v="1"/>
    <n v="2024"/>
    <s v="Jan"/>
    <s v="41-50"/>
    <s v="90K-130K"/>
  </r>
  <r>
    <s v="E0607"/>
    <x v="0"/>
    <x v="19"/>
    <x v="6"/>
    <x v="26"/>
    <s v="Manager"/>
    <n v="122763"/>
    <x v="553"/>
    <s v="PhD"/>
    <x v="2"/>
    <s v="Married"/>
    <n v="9"/>
    <n v="4"/>
    <n v="5"/>
    <s v="Good"/>
    <s v="No"/>
    <n v="216"/>
    <n v="48"/>
    <n v="28"/>
    <s v="Yes"/>
    <s v="No"/>
    <x v="0"/>
    <x v="0"/>
    <n v="2020"/>
    <s v="Aug"/>
    <s v="26-30"/>
    <s v="90K-130K"/>
  </r>
  <r>
    <s v="E0608"/>
    <x v="0"/>
    <x v="15"/>
    <x v="3"/>
    <x v="4"/>
    <s v="Junior"/>
    <n v="36786"/>
    <x v="199"/>
    <s v="PhD"/>
    <x v="1"/>
    <s v="Single"/>
    <n v="1"/>
    <n v="4"/>
    <n v="5"/>
    <s v="Excellent"/>
    <s v="No"/>
    <n v="190"/>
    <n v="14"/>
    <n v="14"/>
    <s v="Yes"/>
    <s v="No"/>
    <x v="1"/>
    <x v="1"/>
    <n v="2025"/>
    <s v="Apr"/>
    <s v="21-25"/>
    <s v="&lt;40K"/>
  </r>
  <r>
    <s v="E0609"/>
    <x v="0"/>
    <x v="9"/>
    <x v="2"/>
    <x v="12"/>
    <s v="Mid-Level"/>
    <n v="56339"/>
    <x v="554"/>
    <s v="Diploma"/>
    <x v="7"/>
    <s v="Married"/>
    <n v="2"/>
    <n v="4"/>
    <n v="4"/>
    <s v="Low"/>
    <s v="Yes"/>
    <n v="230"/>
    <n v="42"/>
    <n v="5"/>
    <s v="No"/>
    <s v="No"/>
    <x v="1"/>
    <x v="1"/>
    <n v="2019"/>
    <s v="Jun"/>
    <s v="21-25"/>
    <s v="40K-60K"/>
  </r>
  <r>
    <s v="E0610"/>
    <x v="1"/>
    <x v="3"/>
    <x v="3"/>
    <x v="3"/>
    <s v="Mid-Level"/>
    <n v="46637"/>
    <x v="555"/>
    <s v="Master's"/>
    <x v="4"/>
    <s v="Divorced"/>
    <n v="4"/>
    <n v="2"/>
    <n v="5"/>
    <s v="Average"/>
    <s v="No"/>
    <n v="197"/>
    <n v="26"/>
    <n v="18"/>
    <s v="No"/>
    <s v="No"/>
    <x v="1"/>
    <x v="2"/>
    <n v="2024"/>
    <s v="Nov"/>
    <s v="41-50"/>
    <s v="40K-60K"/>
  </r>
  <r>
    <s v="E0611"/>
    <x v="0"/>
    <x v="2"/>
    <x v="3"/>
    <x v="4"/>
    <s v="Mid-Level"/>
    <n v="46926"/>
    <x v="315"/>
    <s v="Diploma"/>
    <x v="6"/>
    <s v="Married"/>
    <n v="5"/>
    <n v="1"/>
    <n v="3"/>
    <s v="Low"/>
    <s v="No"/>
    <n v="174"/>
    <n v="12"/>
    <n v="21"/>
    <s v="No"/>
    <s v="No"/>
    <x v="1"/>
    <x v="1"/>
    <n v="2019"/>
    <s v="Oct"/>
    <s v="36-40"/>
    <s v="40K-60K"/>
  </r>
  <r>
    <s v="E0612"/>
    <x v="0"/>
    <x v="1"/>
    <x v="3"/>
    <x v="21"/>
    <s v="Senior"/>
    <n v="106210"/>
    <x v="172"/>
    <s v="PhD"/>
    <x v="2"/>
    <s v="Divorced"/>
    <n v="5"/>
    <n v="3"/>
    <n v="3"/>
    <s v="Average"/>
    <s v="No"/>
    <n v="224"/>
    <n v="14"/>
    <n v="20"/>
    <s v="Yes"/>
    <s v="No"/>
    <x v="1"/>
    <x v="1"/>
    <n v="2021"/>
    <s v="Feb"/>
    <s v="31-35"/>
    <s v="90K-130K"/>
  </r>
  <r>
    <s v="E0613"/>
    <x v="0"/>
    <x v="8"/>
    <x v="5"/>
    <x v="13"/>
    <s v="Senior"/>
    <n v="101940"/>
    <x v="556"/>
    <s v="Diploma"/>
    <x v="2"/>
    <s v="Divorced"/>
    <n v="6"/>
    <n v="5"/>
    <n v="5"/>
    <s v="Excellent"/>
    <s v="No"/>
    <n v="248"/>
    <n v="31"/>
    <n v="7"/>
    <s v="Yes"/>
    <s v="No"/>
    <x v="1"/>
    <x v="1"/>
    <n v="2020"/>
    <s v="Jun"/>
    <s v="31-35"/>
    <s v="90K-130K"/>
  </r>
  <r>
    <s v="E0614"/>
    <x v="0"/>
    <x v="10"/>
    <x v="2"/>
    <x v="12"/>
    <s v="Mid-Level"/>
    <n v="47400"/>
    <x v="557"/>
    <s v="PhD"/>
    <x v="4"/>
    <s v="Married"/>
    <n v="5"/>
    <n v="3"/>
    <n v="1"/>
    <s v="Low"/>
    <s v="Yes"/>
    <n v="167"/>
    <n v="35"/>
    <n v="19"/>
    <s v="No"/>
    <s v="No"/>
    <x v="1"/>
    <x v="2"/>
    <n v="2019"/>
    <s v="Jan"/>
    <s v="21-25"/>
    <s v="40K-60K"/>
  </r>
  <r>
    <s v="E0615"/>
    <x v="1"/>
    <x v="24"/>
    <x v="7"/>
    <x v="20"/>
    <s v="Senior"/>
    <n v="99208"/>
    <x v="558"/>
    <s v="PhD"/>
    <x v="6"/>
    <s v="Married"/>
    <n v="10"/>
    <n v="1"/>
    <n v="5"/>
    <s v="Good"/>
    <s v="Yes"/>
    <n v="171"/>
    <n v="20"/>
    <n v="19"/>
    <s v="No"/>
    <s v="No"/>
    <x v="1"/>
    <x v="1"/>
    <n v="2024"/>
    <s v="Dec"/>
    <s v="41-50"/>
    <s v="90K-130K"/>
  </r>
  <r>
    <s v="E0616"/>
    <x v="0"/>
    <x v="14"/>
    <x v="0"/>
    <x v="0"/>
    <s v="Manager"/>
    <n v="135349"/>
    <x v="559"/>
    <s v="Bachelor's"/>
    <x v="0"/>
    <s v="Married"/>
    <n v="19"/>
    <n v="2"/>
    <n v="5"/>
    <s v="Good"/>
    <s v="No"/>
    <n v="174"/>
    <n v="72"/>
    <n v="8"/>
    <s v="Yes"/>
    <s v="No"/>
    <x v="1"/>
    <x v="1"/>
    <n v="2023"/>
    <s v="Oct"/>
    <s v="31-35"/>
    <s v="130K+"/>
  </r>
  <r>
    <s v="E0617"/>
    <x v="1"/>
    <x v="14"/>
    <x v="2"/>
    <x v="30"/>
    <s v="Senior"/>
    <n v="97951"/>
    <x v="560"/>
    <s v="MBA"/>
    <x v="2"/>
    <s v="Divorced"/>
    <n v="5"/>
    <n v="3"/>
    <n v="1"/>
    <s v="Low"/>
    <s v="No"/>
    <n v="185"/>
    <n v="78"/>
    <n v="28"/>
    <s v="Yes"/>
    <s v="No"/>
    <x v="1"/>
    <x v="2"/>
    <n v="2025"/>
    <s v="Oct"/>
    <s v="31-35"/>
    <s v="90K-130K"/>
  </r>
  <r>
    <s v="E0618"/>
    <x v="1"/>
    <x v="6"/>
    <x v="7"/>
    <x v="8"/>
    <s v="Manager"/>
    <n v="103616"/>
    <x v="561"/>
    <s v="Master's"/>
    <x v="1"/>
    <s v="Married"/>
    <n v="8"/>
    <n v="1"/>
    <n v="5"/>
    <s v="Low"/>
    <s v="No"/>
    <n v="169"/>
    <n v="12"/>
    <n v="16"/>
    <s v="No"/>
    <s v="No"/>
    <x v="1"/>
    <x v="1"/>
    <n v="2023"/>
    <s v="Feb"/>
    <s v="36-40"/>
    <s v="90K-130K"/>
  </r>
  <r>
    <s v="E0619"/>
    <x v="1"/>
    <x v="0"/>
    <x v="2"/>
    <x v="30"/>
    <s v="Mid-Level"/>
    <n v="63466"/>
    <x v="562"/>
    <s v="PhD"/>
    <x v="7"/>
    <s v="Divorced"/>
    <n v="6"/>
    <n v="3"/>
    <n v="3"/>
    <s v="Low"/>
    <s v="No"/>
    <n v="171"/>
    <n v="13"/>
    <n v="8"/>
    <s v="No"/>
    <s v="No"/>
    <x v="1"/>
    <x v="1"/>
    <n v="2019"/>
    <s v="Mar"/>
    <s v="31-35"/>
    <s v="60K-90K"/>
  </r>
  <r>
    <s v="E0620"/>
    <x v="1"/>
    <x v="8"/>
    <x v="2"/>
    <x v="12"/>
    <s v="Manager"/>
    <n v="95833"/>
    <x v="563"/>
    <s v="Diploma"/>
    <x v="4"/>
    <s v="Single"/>
    <n v="12"/>
    <n v="2"/>
    <n v="5"/>
    <s v="Good"/>
    <s v="No"/>
    <n v="172"/>
    <n v="64"/>
    <n v="20"/>
    <s v="No"/>
    <s v="Yes"/>
    <x v="1"/>
    <x v="1"/>
    <n v="2025"/>
    <s v="Oct"/>
    <s v="31-35"/>
    <s v="90K-130K"/>
  </r>
  <r>
    <s v="E0621"/>
    <x v="1"/>
    <x v="19"/>
    <x v="2"/>
    <x v="23"/>
    <s v="Junior"/>
    <n v="33980"/>
    <x v="564"/>
    <s v="Master's"/>
    <x v="4"/>
    <s v="Married"/>
    <n v="0"/>
    <n v="3"/>
    <n v="5"/>
    <s v="Low"/>
    <s v="No"/>
    <n v="152"/>
    <n v="36"/>
    <n v="11"/>
    <s v="No"/>
    <s v="No"/>
    <x v="1"/>
    <x v="1"/>
    <n v="2021"/>
    <s v="Jan"/>
    <s v="26-30"/>
    <s v="&lt;40K"/>
  </r>
  <r>
    <s v="E0622"/>
    <x v="0"/>
    <x v="0"/>
    <x v="5"/>
    <x v="28"/>
    <s v="Manager"/>
    <n v="127627"/>
    <x v="565"/>
    <s v="MBA"/>
    <x v="0"/>
    <s v="Single"/>
    <n v="10"/>
    <n v="2"/>
    <n v="5"/>
    <s v="Good"/>
    <s v="No"/>
    <n v="202"/>
    <n v="38"/>
    <n v="24"/>
    <s v="No"/>
    <s v="No"/>
    <x v="1"/>
    <x v="1"/>
    <n v="2022"/>
    <s v="Feb"/>
    <s v="31-35"/>
    <s v="90K-130K"/>
  </r>
  <r>
    <s v="E0623"/>
    <x v="0"/>
    <x v="23"/>
    <x v="7"/>
    <x v="20"/>
    <s v="Senior"/>
    <n v="87862"/>
    <x v="566"/>
    <s v="Master's"/>
    <x v="7"/>
    <s v="Married"/>
    <n v="13"/>
    <n v="2"/>
    <n v="1"/>
    <s v="Good"/>
    <s v="No"/>
    <n v="199"/>
    <n v="31"/>
    <n v="12"/>
    <s v="No"/>
    <s v="No"/>
    <x v="1"/>
    <x v="1"/>
    <n v="2024"/>
    <s v="Jan"/>
    <s v="41-50"/>
    <s v="60K-90K"/>
  </r>
  <r>
    <s v="E0624"/>
    <x v="0"/>
    <x v="22"/>
    <x v="1"/>
    <x v="11"/>
    <s v="Mid-Level"/>
    <n v="57325"/>
    <x v="567"/>
    <s v="PhD"/>
    <x v="4"/>
    <s v="Married"/>
    <n v="4"/>
    <n v="1"/>
    <n v="5"/>
    <s v="Excellent"/>
    <s v="No"/>
    <n v="230"/>
    <n v="80"/>
    <n v="30"/>
    <s v="Yes"/>
    <s v="No"/>
    <x v="1"/>
    <x v="1"/>
    <n v="2019"/>
    <s v="May"/>
    <s v="41-50"/>
    <s v="40K-60K"/>
  </r>
  <r>
    <s v="E0625"/>
    <x v="0"/>
    <x v="5"/>
    <x v="3"/>
    <x v="15"/>
    <s v="Mid-Level"/>
    <n v="55808"/>
    <x v="568"/>
    <s v="Diploma"/>
    <x v="3"/>
    <s v="Single"/>
    <n v="5"/>
    <n v="3"/>
    <n v="1"/>
    <s v="Excellent"/>
    <s v="Yes"/>
    <n v="195"/>
    <n v="63"/>
    <n v="20"/>
    <s v="No"/>
    <s v="No"/>
    <x v="0"/>
    <x v="0"/>
    <n v="2022"/>
    <s v="Oct"/>
    <s v="41-50"/>
    <s v="40K-60K"/>
  </r>
  <r>
    <s v="E0626"/>
    <x v="1"/>
    <x v="7"/>
    <x v="4"/>
    <x v="18"/>
    <s v="Mid-Level"/>
    <n v="50276"/>
    <x v="569"/>
    <s v="Master's"/>
    <x v="1"/>
    <s v="Married"/>
    <n v="7"/>
    <n v="5"/>
    <n v="3"/>
    <s v="Excellent"/>
    <s v="No"/>
    <n v="236"/>
    <n v="39"/>
    <n v="20"/>
    <s v="No"/>
    <s v="No"/>
    <x v="1"/>
    <x v="1"/>
    <n v="2023"/>
    <s v="Mar"/>
    <s v="26-30"/>
    <s v="40K-60K"/>
  </r>
  <r>
    <s v="E0627"/>
    <x v="0"/>
    <x v="12"/>
    <x v="6"/>
    <x v="22"/>
    <s v="Mid-Level"/>
    <n v="60611"/>
    <x v="570"/>
    <s v="PhD"/>
    <x v="7"/>
    <s v="Single"/>
    <n v="3"/>
    <n v="3"/>
    <n v="1"/>
    <s v="Excellent"/>
    <s v="Yes"/>
    <n v="189"/>
    <n v="5"/>
    <n v="23"/>
    <s v="Yes"/>
    <s v="No"/>
    <x v="1"/>
    <x v="1"/>
    <n v="2020"/>
    <s v="Jun"/>
    <s v="21-25"/>
    <s v="60K-90K"/>
  </r>
  <r>
    <s v="E0628"/>
    <x v="0"/>
    <x v="1"/>
    <x v="5"/>
    <x v="6"/>
    <s v="Junior"/>
    <n v="34048"/>
    <x v="571"/>
    <s v="MBA"/>
    <x v="5"/>
    <s v="Married"/>
    <n v="1"/>
    <n v="4"/>
    <n v="1"/>
    <s v="Average"/>
    <s v="No"/>
    <n v="181"/>
    <n v="49"/>
    <n v="5"/>
    <s v="No"/>
    <s v="No"/>
    <x v="1"/>
    <x v="2"/>
    <n v="2021"/>
    <s v="Apr"/>
    <s v="31-35"/>
    <s v="&lt;40K"/>
  </r>
  <r>
    <s v="E0629"/>
    <x v="0"/>
    <x v="14"/>
    <x v="7"/>
    <x v="17"/>
    <s v="Manager"/>
    <n v="121816"/>
    <x v="328"/>
    <s v="MBA"/>
    <x v="2"/>
    <s v="Divorced"/>
    <n v="20"/>
    <n v="4"/>
    <n v="2"/>
    <s v="Excellent"/>
    <s v="No"/>
    <n v="247"/>
    <n v="55"/>
    <n v="19"/>
    <s v="Yes"/>
    <s v="No"/>
    <x v="1"/>
    <x v="1"/>
    <n v="2020"/>
    <s v="Jan"/>
    <s v="31-35"/>
    <s v="90K-130K"/>
  </r>
  <r>
    <s v="E0630"/>
    <x v="1"/>
    <x v="20"/>
    <x v="0"/>
    <x v="9"/>
    <s v="Mid-Level"/>
    <n v="67160"/>
    <x v="572"/>
    <s v="PhD"/>
    <x v="1"/>
    <s v="Divorced"/>
    <n v="3"/>
    <n v="3"/>
    <n v="3"/>
    <s v="Average"/>
    <s v="No"/>
    <n v="255"/>
    <n v="22"/>
    <n v="17"/>
    <s v="Yes"/>
    <s v="Yes"/>
    <x v="1"/>
    <x v="1"/>
    <n v="2023"/>
    <s v="Feb"/>
    <s v="36-40"/>
    <s v="60K-90K"/>
  </r>
  <r>
    <s v="E0631"/>
    <x v="0"/>
    <x v="9"/>
    <x v="5"/>
    <x v="25"/>
    <s v="Junior"/>
    <n v="39127"/>
    <x v="411"/>
    <s v="PhD"/>
    <x v="5"/>
    <s v="Married"/>
    <n v="3"/>
    <n v="2"/>
    <n v="4"/>
    <s v="Excellent"/>
    <s v="Yes"/>
    <n v="186"/>
    <n v="27"/>
    <n v="7"/>
    <s v="No"/>
    <s v="No"/>
    <x v="1"/>
    <x v="1"/>
    <n v="2026"/>
    <s v="May"/>
    <s v="21-25"/>
    <s v="&lt;40K"/>
  </r>
  <r>
    <s v="E0632"/>
    <x v="1"/>
    <x v="3"/>
    <x v="2"/>
    <x v="30"/>
    <s v="Junior"/>
    <n v="41253"/>
    <x v="573"/>
    <s v="Bachelor's"/>
    <x v="6"/>
    <s v="Divorced"/>
    <n v="0"/>
    <n v="3"/>
    <n v="2"/>
    <s v="Excellent"/>
    <s v="No"/>
    <n v="214"/>
    <n v="59"/>
    <n v="26"/>
    <s v="Yes"/>
    <s v="No"/>
    <x v="1"/>
    <x v="1"/>
    <n v="2020"/>
    <s v="Oct"/>
    <s v="41-50"/>
    <s v="40K-60K"/>
  </r>
  <r>
    <s v="E0633"/>
    <x v="1"/>
    <x v="4"/>
    <x v="5"/>
    <x v="28"/>
    <s v="Manager"/>
    <n v="155806"/>
    <x v="574"/>
    <s v="Diploma"/>
    <x v="7"/>
    <s v="Divorced"/>
    <n v="13"/>
    <n v="3"/>
    <n v="5"/>
    <s v="Low"/>
    <s v="No"/>
    <n v="164"/>
    <n v="24"/>
    <n v="2"/>
    <s v="No"/>
    <s v="No"/>
    <x v="1"/>
    <x v="1"/>
    <n v="2024"/>
    <s v="Apr"/>
    <s v="26-30"/>
    <s v="130K+"/>
  </r>
  <r>
    <s v="E0634"/>
    <x v="0"/>
    <x v="17"/>
    <x v="7"/>
    <x v="17"/>
    <s v="Junior"/>
    <n v="43229"/>
    <x v="575"/>
    <s v="MBA"/>
    <x v="2"/>
    <s v="Married"/>
    <n v="2"/>
    <n v="1"/>
    <n v="4"/>
    <s v="Good"/>
    <s v="No"/>
    <n v="196"/>
    <n v="42"/>
    <n v="26"/>
    <s v="Yes"/>
    <s v="Yes"/>
    <x v="1"/>
    <x v="1"/>
    <n v="2019"/>
    <s v="Jun"/>
    <s v="26-30"/>
    <s v="40K-60K"/>
  </r>
  <r>
    <s v="E0635"/>
    <x v="0"/>
    <x v="10"/>
    <x v="5"/>
    <x v="6"/>
    <s v="Manager"/>
    <n v="92296"/>
    <x v="576"/>
    <s v="Diploma"/>
    <x v="7"/>
    <s v="Single"/>
    <n v="15"/>
    <n v="3"/>
    <n v="1"/>
    <s v="Average"/>
    <s v="No"/>
    <n v="164"/>
    <n v="15"/>
    <n v="19"/>
    <s v="Yes"/>
    <s v="No"/>
    <x v="1"/>
    <x v="1"/>
    <n v="2022"/>
    <s v="Aug"/>
    <s v="21-25"/>
    <s v="90K-130K"/>
  </r>
  <r>
    <s v="E0636"/>
    <x v="0"/>
    <x v="9"/>
    <x v="7"/>
    <x v="17"/>
    <s v="Senior"/>
    <n v="87635"/>
    <x v="577"/>
    <s v="MBA"/>
    <x v="5"/>
    <s v="Single"/>
    <n v="12"/>
    <n v="2"/>
    <n v="5"/>
    <s v="Low"/>
    <s v="No"/>
    <n v="208"/>
    <n v="53"/>
    <n v="18"/>
    <s v="No"/>
    <s v="Yes"/>
    <x v="0"/>
    <x v="0"/>
    <n v="2025"/>
    <s v="Dec"/>
    <s v="21-25"/>
    <s v="60K-90K"/>
  </r>
  <r>
    <s v="E0637"/>
    <x v="0"/>
    <x v="6"/>
    <x v="3"/>
    <x v="3"/>
    <s v="Manager"/>
    <n v="142525"/>
    <x v="578"/>
    <s v="MBA"/>
    <x v="0"/>
    <s v="Divorced"/>
    <n v="8"/>
    <n v="3"/>
    <n v="1"/>
    <s v="Low"/>
    <s v="No"/>
    <n v="164"/>
    <n v="52"/>
    <n v="20"/>
    <s v="No"/>
    <s v="No"/>
    <x v="1"/>
    <x v="1"/>
    <n v="2021"/>
    <s v="Jan"/>
    <s v="36-40"/>
    <s v="130K+"/>
  </r>
  <r>
    <s v="E0638"/>
    <x v="1"/>
    <x v="14"/>
    <x v="5"/>
    <x v="13"/>
    <s v="Senior"/>
    <n v="97870"/>
    <x v="76"/>
    <s v="Master's"/>
    <x v="5"/>
    <s v="Married"/>
    <n v="5"/>
    <n v="4"/>
    <n v="2"/>
    <s v="Average"/>
    <s v="No"/>
    <n v="186"/>
    <n v="40"/>
    <n v="10"/>
    <s v="No"/>
    <s v="No"/>
    <x v="0"/>
    <x v="0"/>
    <n v="2025"/>
    <s v="Oct"/>
    <s v="31-35"/>
    <s v="90K-130K"/>
  </r>
  <r>
    <s v="E0639"/>
    <x v="1"/>
    <x v="13"/>
    <x v="2"/>
    <x v="12"/>
    <s v="Mid-Level"/>
    <n v="42592"/>
    <x v="576"/>
    <s v="Diploma"/>
    <x v="4"/>
    <s v="Divorced"/>
    <n v="7"/>
    <n v="2"/>
    <n v="1"/>
    <s v="Excellent"/>
    <s v="No"/>
    <n v="186"/>
    <n v="65"/>
    <n v="19"/>
    <s v="Yes"/>
    <s v="No"/>
    <x v="1"/>
    <x v="1"/>
    <n v="2022"/>
    <s v="Aug"/>
    <s v="21-25"/>
    <s v="40K-60K"/>
  </r>
  <r>
    <s v="E0640"/>
    <x v="1"/>
    <x v="13"/>
    <x v="3"/>
    <x v="3"/>
    <s v="Manager"/>
    <n v="109893"/>
    <x v="159"/>
    <s v="Bachelor's"/>
    <x v="1"/>
    <s v="Divorced"/>
    <n v="15"/>
    <n v="2"/>
    <n v="5"/>
    <s v="Excellent"/>
    <s v="No"/>
    <n v="171"/>
    <n v="76"/>
    <n v="13"/>
    <s v="Yes"/>
    <s v="No"/>
    <x v="1"/>
    <x v="1"/>
    <n v="2024"/>
    <s v="Aug"/>
    <s v="21-25"/>
    <s v="90K-130K"/>
  </r>
  <r>
    <s v="E0641"/>
    <x v="1"/>
    <x v="17"/>
    <x v="5"/>
    <x v="6"/>
    <s v="Senior"/>
    <n v="94589"/>
    <x v="579"/>
    <s v="PhD"/>
    <x v="5"/>
    <s v="Married"/>
    <n v="12"/>
    <n v="2"/>
    <n v="5"/>
    <s v="Excellent"/>
    <s v="No"/>
    <n v="171"/>
    <n v="35"/>
    <n v="14"/>
    <s v="No"/>
    <s v="No"/>
    <x v="1"/>
    <x v="1"/>
    <n v="2019"/>
    <s v="May"/>
    <s v="26-30"/>
    <s v="90K-130K"/>
  </r>
  <r>
    <s v="E0642"/>
    <x v="1"/>
    <x v="5"/>
    <x v="2"/>
    <x v="23"/>
    <s v="Manager"/>
    <n v="118613"/>
    <x v="580"/>
    <s v="PhD"/>
    <x v="7"/>
    <s v="Married"/>
    <n v="11"/>
    <n v="5"/>
    <n v="3"/>
    <s v="Average"/>
    <s v="Yes"/>
    <n v="260"/>
    <n v="58"/>
    <n v="30"/>
    <s v="No"/>
    <s v="No"/>
    <x v="1"/>
    <x v="1"/>
    <n v="2020"/>
    <s v="Mar"/>
    <s v="41-50"/>
    <s v="90K-130K"/>
  </r>
  <r>
    <s v="E0643"/>
    <x v="1"/>
    <x v="4"/>
    <x v="3"/>
    <x v="15"/>
    <s v="Senior"/>
    <n v="97919"/>
    <x v="581"/>
    <s v="PhD"/>
    <x v="3"/>
    <s v="Single"/>
    <n v="13"/>
    <n v="4"/>
    <n v="2"/>
    <s v="Excellent"/>
    <s v="No"/>
    <n v="213"/>
    <n v="41"/>
    <n v="2"/>
    <s v="No"/>
    <s v="No"/>
    <x v="1"/>
    <x v="1"/>
    <n v="2024"/>
    <s v="Dec"/>
    <s v="26-30"/>
    <s v="90K-130K"/>
  </r>
  <r>
    <s v="E0644"/>
    <x v="1"/>
    <x v="9"/>
    <x v="6"/>
    <x v="7"/>
    <s v="Manager"/>
    <n v="144801"/>
    <x v="582"/>
    <s v="Diploma"/>
    <x v="1"/>
    <s v="Divorced"/>
    <n v="14"/>
    <n v="2"/>
    <n v="1"/>
    <s v="Excellent"/>
    <s v="No"/>
    <n v="178"/>
    <n v="7"/>
    <n v="12"/>
    <s v="No"/>
    <s v="No"/>
    <x v="1"/>
    <x v="1"/>
    <n v="2023"/>
    <s v="Aug"/>
    <s v="21-25"/>
    <s v="130K+"/>
  </r>
  <r>
    <s v="E0645"/>
    <x v="0"/>
    <x v="4"/>
    <x v="7"/>
    <x v="29"/>
    <s v="Senior"/>
    <n v="66488"/>
    <x v="94"/>
    <s v="Master's"/>
    <x v="6"/>
    <s v="Married"/>
    <n v="14"/>
    <n v="4"/>
    <n v="5"/>
    <s v="Average"/>
    <s v="No"/>
    <n v="260"/>
    <n v="27"/>
    <n v="17"/>
    <s v="No"/>
    <s v="No"/>
    <x v="1"/>
    <x v="1"/>
    <n v="2026"/>
    <s v="May"/>
    <s v="26-30"/>
    <s v="60K-90K"/>
  </r>
  <r>
    <s v="E0646"/>
    <x v="1"/>
    <x v="4"/>
    <x v="6"/>
    <x v="22"/>
    <s v="Junior"/>
    <n v="29012"/>
    <x v="583"/>
    <s v="Master's"/>
    <x v="6"/>
    <s v="Divorced"/>
    <n v="1"/>
    <n v="4"/>
    <n v="4"/>
    <s v="Low"/>
    <s v="Yes"/>
    <n v="237"/>
    <n v="47"/>
    <n v="29"/>
    <s v="Yes"/>
    <s v="No"/>
    <x v="1"/>
    <x v="1"/>
    <n v="2025"/>
    <s v="Jun"/>
    <s v="26-30"/>
    <s v="&lt;40K"/>
  </r>
  <r>
    <s v="E0647"/>
    <x v="1"/>
    <x v="9"/>
    <x v="2"/>
    <x v="23"/>
    <s v="Junior"/>
    <n v="41315"/>
    <x v="584"/>
    <s v="Diploma"/>
    <x v="5"/>
    <s v="Married"/>
    <n v="3"/>
    <n v="1"/>
    <n v="4"/>
    <s v="Excellent"/>
    <s v="No"/>
    <n v="241"/>
    <n v="12"/>
    <n v="11"/>
    <s v="No"/>
    <s v="Yes"/>
    <x v="1"/>
    <x v="1"/>
    <n v="2023"/>
    <s v="Apr"/>
    <s v="21-25"/>
    <s v="40K-60K"/>
  </r>
  <r>
    <s v="E0648"/>
    <x v="1"/>
    <x v="1"/>
    <x v="4"/>
    <x v="18"/>
    <s v="Manager"/>
    <n v="106260"/>
    <x v="585"/>
    <s v="MBA"/>
    <x v="3"/>
    <s v="Single"/>
    <n v="9"/>
    <n v="3"/>
    <n v="5"/>
    <s v="Excellent"/>
    <s v="Yes"/>
    <n v="242"/>
    <n v="31"/>
    <n v="10"/>
    <s v="Yes"/>
    <s v="No"/>
    <x v="1"/>
    <x v="1"/>
    <n v="2020"/>
    <s v="Aug"/>
    <s v="31-35"/>
    <s v="90K-130K"/>
  </r>
  <r>
    <s v="E0649"/>
    <x v="0"/>
    <x v="4"/>
    <x v="7"/>
    <x v="17"/>
    <s v="Mid-Level"/>
    <n v="66804"/>
    <x v="99"/>
    <s v="Diploma"/>
    <x v="2"/>
    <s v="Divorced"/>
    <n v="4"/>
    <n v="3"/>
    <n v="4"/>
    <s v="Low"/>
    <s v="No"/>
    <n v="250"/>
    <n v="22"/>
    <n v="6"/>
    <s v="No"/>
    <s v="No"/>
    <x v="1"/>
    <x v="1"/>
    <n v="2022"/>
    <s v="Nov"/>
    <s v="26-30"/>
    <s v="60K-90K"/>
  </r>
  <r>
    <s v="E0650"/>
    <x v="0"/>
    <x v="2"/>
    <x v="1"/>
    <x v="11"/>
    <s v="Senior"/>
    <n v="84085"/>
    <x v="44"/>
    <s v="Master's"/>
    <x v="3"/>
    <s v="Single"/>
    <n v="9"/>
    <n v="5"/>
    <n v="3"/>
    <s v="Good"/>
    <s v="No"/>
    <n v="241"/>
    <n v="54"/>
    <n v="10"/>
    <s v="No"/>
    <s v="No"/>
    <x v="1"/>
    <x v="1"/>
    <n v="2020"/>
    <s v="Oct"/>
    <s v="36-40"/>
    <s v="60K-90K"/>
  </r>
  <r>
    <s v="E0651"/>
    <x v="0"/>
    <x v="18"/>
    <x v="1"/>
    <x v="11"/>
    <s v="Mid-Level"/>
    <n v="61144"/>
    <x v="586"/>
    <s v="Master's"/>
    <x v="4"/>
    <s v="Divorced"/>
    <n v="2"/>
    <n v="3"/>
    <n v="5"/>
    <s v="Average"/>
    <s v="No"/>
    <n v="216"/>
    <n v="80"/>
    <n v="29"/>
    <s v="No"/>
    <s v="No"/>
    <x v="1"/>
    <x v="1"/>
    <n v="2021"/>
    <s v="Nov"/>
    <s v="41-50"/>
    <s v="60K-90K"/>
  </r>
  <r>
    <s v="E0652"/>
    <x v="1"/>
    <x v="20"/>
    <x v="4"/>
    <x v="18"/>
    <s v="Mid-Level"/>
    <n v="59210"/>
    <x v="164"/>
    <s v="MBA"/>
    <x v="0"/>
    <s v="Single"/>
    <n v="5"/>
    <n v="4"/>
    <n v="4"/>
    <s v="Average"/>
    <s v="Yes"/>
    <n v="235"/>
    <n v="40"/>
    <n v="21"/>
    <s v="No"/>
    <s v="Yes"/>
    <x v="1"/>
    <x v="1"/>
    <n v="2020"/>
    <s v="Dec"/>
    <s v="36-40"/>
    <s v="40K-60K"/>
  </r>
  <r>
    <s v="E0653"/>
    <x v="0"/>
    <x v="4"/>
    <x v="3"/>
    <x v="4"/>
    <s v="Manager"/>
    <n v="91599"/>
    <x v="587"/>
    <s v="Bachelor's"/>
    <x v="4"/>
    <s v="Divorced"/>
    <n v="19"/>
    <n v="2"/>
    <n v="2"/>
    <s v="Low"/>
    <s v="No"/>
    <n v="235"/>
    <n v="39"/>
    <n v="19"/>
    <s v="No"/>
    <s v="Yes"/>
    <x v="1"/>
    <x v="1"/>
    <n v="2024"/>
    <s v="Nov"/>
    <s v="26-30"/>
    <s v="90K-130K"/>
  </r>
  <r>
    <s v="E0654"/>
    <x v="0"/>
    <x v="10"/>
    <x v="7"/>
    <x v="8"/>
    <s v="Mid-Level"/>
    <n v="50390"/>
    <x v="588"/>
    <s v="Diploma"/>
    <x v="2"/>
    <s v="Divorced"/>
    <n v="7"/>
    <n v="2"/>
    <n v="2"/>
    <s v="Good"/>
    <s v="No"/>
    <n v="241"/>
    <n v="16"/>
    <n v="25"/>
    <s v="Yes"/>
    <s v="No"/>
    <x v="0"/>
    <x v="0"/>
    <n v="2021"/>
    <s v="Jan"/>
    <s v="21-25"/>
    <s v="40K-60K"/>
  </r>
  <r>
    <s v="E0655"/>
    <x v="0"/>
    <x v="32"/>
    <x v="6"/>
    <x v="22"/>
    <s v="Junior"/>
    <n v="34806"/>
    <x v="589"/>
    <s v="Bachelor's"/>
    <x v="4"/>
    <s v="Divorced"/>
    <n v="1"/>
    <n v="5"/>
    <n v="5"/>
    <s v="Low"/>
    <s v="No"/>
    <n v="209"/>
    <n v="30"/>
    <n v="17"/>
    <s v="Yes"/>
    <s v="Yes"/>
    <x v="1"/>
    <x v="2"/>
    <n v="2021"/>
    <s v="Sep"/>
    <s v="41-50"/>
    <s v="&lt;40K"/>
  </r>
  <r>
    <s v="E0656"/>
    <x v="0"/>
    <x v="14"/>
    <x v="7"/>
    <x v="8"/>
    <s v="Junior"/>
    <n v="35044"/>
    <x v="590"/>
    <s v="PhD"/>
    <x v="0"/>
    <s v="Divorced"/>
    <n v="3"/>
    <n v="5"/>
    <n v="1"/>
    <s v="Excellent"/>
    <s v="No"/>
    <n v="205"/>
    <n v="5"/>
    <n v="10"/>
    <s v="No"/>
    <s v="Yes"/>
    <x v="1"/>
    <x v="1"/>
    <n v="2022"/>
    <s v="May"/>
    <s v="31-35"/>
    <s v="&lt;40K"/>
  </r>
  <r>
    <s v="E0657"/>
    <x v="1"/>
    <x v="14"/>
    <x v="6"/>
    <x v="22"/>
    <s v="Manager"/>
    <n v="157397"/>
    <x v="591"/>
    <s v="Diploma"/>
    <x v="2"/>
    <s v="Divorced"/>
    <n v="12"/>
    <n v="3"/>
    <n v="3"/>
    <s v="Excellent"/>
    <s v="No"/>
    <n v="181"/>
    <n v="19"/>
    <n v="26"/>
    <s v="Yes"/>
    <s v="No"/>
    <x v="1"/>
    <x v="2"/>
    <n v="2026"/>
    <s v="Mar"/>
    <s v="31-35"/>
    <s v="130K+"/>
  </r>
  <r>
    <s v="E0658"/>
    <x v="0"/>
    <x v="1"/>
    <x v="3"/>
    <x v="4"/>
    <s v="Manager"/>
    <n v="111381"/>
    <x v="592"/>
    <s v="Diploma"/>
    <x v="3"/>
    <s v="Single"/>
    <n v="10"/>
    <n v="4"/>
    <n v="3"/>
    <s v="Low"/>
    <s v="Yes"/>
    <n v="260"/>
    <n v="34"/>
    <n v="8"/>
    <s v="No"/>
    <s v="No"/>
    <x v="1"/>
    <x v="1"/>
    <n v="2019"/>
    <s v="Sep"/>
    <s v="31-35"/>
    <s v="90K-130K"/>
  </r>
  <r>
    <s v="E0659"/>
    <x v="1"/>
    <x v="8"/>
    <x v="7"/>
    <x v="29"/>
    <s v="Senior"/>
    <n v="104945"/>
    <x v="593"/>
    <s v="Master's"/>
    <x v="3"/>
    <s v="Married"/>
    <n v="8"/>
    <n v="2"/>
    <n v="3"/>
    <s v="Excellent"/>
    <s v="Yes"/>
    <n v="174"/>
    <n v="58"/>
    <n v="26"/>
    <s v="No"/>
    <s v="No"/>
    <x v="1"/>
    <x v="1"/>
    <n v="2025"/>
    <s v="May"/>
    <s v="31-35"/>
    <s v="90K-130K"/>
  </r>
  <r>
    <s v="E0660"/>
    <x v="0"/>
    <x v="4"/>
    <x v="5"/>
    <x v="25"/>
    <s v="Senior"/>
    <n v="89300"/>
    <x v="594"/>
    <s v="Diploma"/>
    <x v="7"/>
    <s v="Married"/>
    <n v="7"/>
    <n v="3"/>
    <n v="3"/>
    <s v="Low"/>
    <s v="No"/>
    <n v="190"/>
    <n v="56"/>
    <n v="3"/>
    <s v="No"/>
    <s v="No"/>
    <x v="1"/>
    <x v="1"/>
    <n v="2022"/>
    <s v="Jun"/>
    <s v="26-30"/>
    <s v="60K-90K"/>
  </r>
  <r>
    <s v="E0661"/>
    <x v="0"/>
    <x v="16"/>
    <x v="7"/>
    <x v="20"/>
    <s v="Junior"/>
    <n v="34626"/>
    <x v="595"/>
    <s v="PhD"/>
    <x v="4"/>
    <s v="Divorced"/>
    <n v="1"/>
    <n v="3"/>
    <n v="3"/>
    <s v="Average"/>
    <s v="No"/>
    <n v="153"/>
    <n v="32"/>
    <n v="21"/>
    <s v="No"/>
    <s v="No"/>
    <x v="1"/>
    <x v="2"/>
    <n v="2026"/>
    <s v="Jun"/>
    <s v="26-30"/>
    <s v="&lt;40K"/>
  </r>
  <r>
    <s v="E0662"/>
    <x v="1"/>
    <x v="7"/>
    <x v="2"/>
    <x v="23"/>
    <s v="Mid-Level"/>
    <n v="47256"/>
    <x v="596"/>
    <s v="PhD"/>
    <x v="0"/>
    <s v="Married"/>
    <n v="4"/>
    <n v="5"/>
    <n v="4"/>
    <s v="Excellent"/>
    <s v="Yes"/>
    <n v="249"/>
    <n v="12"/>
    <n v="5"/>
    <s v="Yes"/>
    <s v="No"/>
    <x v="1"/>
    <x v="1"/>
    <n v="2024"/>
    <s v="May"/>
    <s v="26-30"/>
    <s v="40K-60K"/>
  </r>
  <r>
    <s v="E0663"/>
    <x v="1"/>
    <x v="1"/>
    <x v="3"/>
    <x v="4"/>
    <s v="Senior"/>
    <n v="72276"/>
    <x v="597"/>
    <s v="Diploma"/>
    <x v="2"/>
    <s v="Divorced"/>
    <n v="12"/>
    <n v="1"/>
    <n v="3"/>
    <s v="Average"/>
    <s v="No"/>
    <n v="202"/>
    <n v="76"/>
    <n v="4"/>
    <s v="No"/>
    <s v="No"/>
    <x v="1"/>
    <x v="1"/>
    <n v="2020"/>
    <s v="Jul"/>
    <s v="31-35"/>
    <s v="60K-90K"/>
  </r>
  <r>
    <s v="E0664"/>
    <x v="1"/>
    <x v="7"/>
    <x v="5"/>
    <x v="6"/>
    <s v="Junior"/>
    <n v="32602"/>
    <x v="598"/>
    <s v="Master's"/>
    <x v="6"/>
    <s v="Married"/>
    <n v="0"/>
    <n v="3"/>
    <n v="4"/>
    <s v="Good"/>
    <s v="No"/>
    <n v="177"/>
    <n v="30"/>
    <n v="23"/>
    <s v="No"/>
    <s v="No"/>
    <x v="1"/>
    <x v="1"/>
    <n v="2022"/>
    <s v="Jul"/>
    <s v="26-30"/>
    <s v="&lt;40K"/>
  </r>
  <r>
    <s v="E0665"/>
    <x v="1"/>
    <x v="16"/>
    <x v="0"/>
    <x v="9"/>
    <s v="Junior"/>
    <n v="41460"/>
    <x v="599"/>
    <s v="PhD"/>
    <x v="5"/>
    <s v="Divorced"/>
    <n v="3"/>
    <n v="4"/>
    <n v="1"/>
    <s v="Good"/>
    <s v="No"/>
    <n v="157"/>
    <n v="73"/>
    <n v="17"/>
    <s v="No"/>
    <s v="No"/>
    <x v="0"/>
    <x v="0"/>
    <n v="2023"/>
    <s v="Jun"/>
    <s v="26-30"/>
    <s v="40K-60K"/>
  </r>
  <r>
    <s v="E0666"/>
    <x v="1"/>
    <x v="14"/>
    <x v="2"/>
    <x v="23"/>
    <s v="Junior"/>
    <n v="31680"/>
    <x v="600"/>
    <s v="PhD"/>
    <x v="2"/>
    <s v="Married"/>
    <n v="1"/>
    <n v="1"/>
    <n v="5"/>
    <s v="Excellent"/>
    <s v="No"/>
    <n v="228"/>
    <n v="24"/>
    <n v="22"/>
    <s v="No"/>
    <s v="No"/>
    <x v="1"/>
    <x v="1"/>
    <n v="2024"/>
    <s v="Oct"/>
    <s v="31-35"/>
    <s v="&lt;40K"/>
  </r>
  <r>
    <s v="E0667"/>
    <x v="0"/>
    <x v="4"/>
    <x v="3"/>
    <x v="4"/>
    <s v="Manager"/>
    <n v="92815"/>
    <x v="601"/>
    <s v="Master's"/>
    <x v="4"/>
    <s v="Married"/>
    <n v="14"/>
    <n v="3"/>
    <n v="1"/>
    <s v="Average"/>
    <s v="No"/>
    <n v="256"/>
    <n v="38"/>
    <n v="29"/>
    <s v="Yes"/>
    <s v="No"/>
    <x v="0"/>
    <x v="0"/>
    <n v="2025"/>
    <s v="Jun"/>
    <s v="26-30"/>
    <s v="90K-130K"/>
  </r>
  <r>
    <s v="E0668"/>
    <x v="1"/>
    <x v="3"/>
    <x v="7"/>
    <x v="8"/>
    <s v="Senior"/>
    <n v="102804"/>
    <x v="602"/>
    <s v="Diploma"/>
    <x v="5"/>
    <s v="Single"/>
    <n v="7"/>
    <n v="2"/>
    <n v="2"/>
    <s v="Good"/>
    <s v="No"/>
    <n v="173"/>
    <n v="13"/>
    <n v="12"/>
    <s v="No"/>
    <s v="Yes"/>
    <x v="0"/>
    <x v="0"/>
    <n v="2021"/>
    <s v="Feb"/>
    <s v="41-50"/>
    <s v="90K-130K"/>
  </r>
  <r>
    <s v="E0669"/>
    <x v="0"/>
    <x v="9"/>
    <x v="1"/>
    <x v="14"/>
    <s v="Senior"/>
    <n v="75701"/>
    <x v="603"/>
    <s v="PhD"/>
    <x v="1"/>
    <s v="Married"/>
    <n v="11"/>
    <n v="2"/>
    <n v="2"/>
    <s v="Low"/>
    <s v="No"/>
    <n v="153"/>
    <n v="61"/>
    <n v="29"/>
    <s v="No"/>
    <s v="No"/>
    <x v="1"/>
    <x v="1"/>
    <n v="2022"/>
    <s v="Jan"/>
    <s v="21-25"/>
    <s v="60K-90K"/>
  </r>
  <r>
    <s v="E0670"/>
    <x v="1"/>
    <x v="20"/>
    <x v="0"/>
    <x v="16"/>
    <s v="Manager"/>
    <n v="142321"/>
    <x v="604"/>
    <s v="Diploma"/>
    <x v="1"/>
    <s v="Single"/>
    <n v="11"/>
    <n v="4"/>
    <n v="5"/>
    <s v="Average"/>
    <s v="Yes"/>
    <n v="161"/>
    <n v="20"/>
    <n v="17"/>
    <s v="No"/>
    <s v="No"/>
    <x v="1"/>
    <x v="1"/>
    <n v="2021"/>
    <s v="Apr"/>
    <s v="36-40"/>
    <s v="130K+"/>
  </r>
  <r>
    <s v="E0671"/>
    <x v="1"/>
    <x v="26"/>
    <x v="4"/>
    <x v="19"/>
    <s v="Mid-Level"/>
    <n v="44975"/>
    <x v="605"/>
    <s v="PhD"/>
    <x v="7"/>
    <s v="Married"/>
    <n v="6"/>
    <n v="4"/>
    <n v="3"/>
    <s v="Low"/>
    <s v="No"/>
    <n v="164"/>
    <n v="50"/>
    <n v="13"/>
    <s v="No"/>
    <s v="No"/>
    <x v="0"/>
    <x v="0"/>
    <n v="2023"/>
    <s v="Jan"/>
    <s v="36-40"/>
    <s v="40K-60K"/>
  </r>
  <r>
    <s v="E0672"/>
    <x v="0"/>
    <x v="9"/>
    <x v="4"/>
    <x v="5"/>
    <s v="Mid-Level"/>
    <n v="64977"/>
    <x v="606"/>
    <s v="Master's"/>
    <x v="3"/>
    <s v="Divorced"/>
    <n v="2"/>
    <n v="4"/>
    <n v="4"/>
    <s v="Low"/>
    <s v="Yes"/>
    <n v="185"/>
    <n v="21"/>
    <n v="18"/>
    <s v="Yes"/>
    <s v="No"/>
    <x v="0"/>
    <x v="0"/>
    <n v="2026"/>
    <s v="Apr"/>
    <s v="21-25"/>
    <s v="60K-90K"/>
  </r>
  <r>
    <s v="E0673"/>
    <x v="0"/>
    <x v="17"/>
    <x v="7"/>
    <x v="29"/>
    <s v="Junior"/>
    <n v="34875"/>
    <x v="607"/>
    <s v="Diploma"/>
    <x v="3"/>
    <s v="Divorced"/>
    <n v="2"/>
    <n v="5"/>
    <n v="4"/>
    <s v="Average"/>
    <s v="Yes"/>
    <n v="203"/>
    <n v="51"/>
    <n v="30"/>
    <s v="Yes"/>
    <s v="No"/>
    <x v="1"/>
    <x v="1"/>
    <n v="2023"/>
    <s v="Mar"/>
    <s v="26-30"/>
    <s v="&lt;40K"/>
  </r>
  <r>
    <s v="E0674"/>
    <x v="0"/>
    <x v="17"/>
    <x v="7"/>
    <x v="8"/>
    <s v="Senior"/>
    <n v="91453"/>
    <x v="608"/>
    <s v="PhD"/>
    <x v="5"/>
    <s v="Divorced"/>
    <n v="10"/>
    <n v="5"/>
    <n v="3"/>
    <s v="Average"/>
    <s v="Yes"/>
    <n v="250"/>
    <n v="57"/>
    <n v="3"/>
    <s v="No"/>
    <s v="Yes"/>
    <x v="1"/>
    <x v="2"/>
    <n v="2021"/>
    <s v="Dec"/>
    <s v="26-30"/>
    <s v="90K-130K"/>
  </r>
  <r>
    <s v="E0675"/>
    <x v="0"/>
    <x v="13"/>
    <x v="6"/>
    <x v="7"/>
    <s v="Junior"/>
    <n v="39425"/>
    <x v="609"/>
    <s v="Diploma"/>
    <x v="6"/>
    <s v="Single"/>
    <n v="1"/>
    <n v="4"/>
    <n v="1"/>
    <s v="Low"/>
    <s v="Yes"/>
    <n v="210"/>
    <n v="44"/>
    <n v="17"/>
    <s v="No"/>
    <s v="No"/>
    <x v="1"/>
    <x v="1"/>
    <n v="2020"/>
    <s v="Jan"/>
    <s v="21-25"/>
    <s v="&lt;40K"/>
  </r>
  <r>
    <s v="E0676"/>
    <x v="0"/>
    <x v="19"/>
    <x v="3"/>
    <x v="3"/>
    <s v="Junior"/>
    <n v="43656"/>
    <x v="610"/>
    <s v="Master's"/>
    <x v="0"/>
    <s v="Divorced"/>
    <n v="3"/>
    <n v="2"/>
    <n v="2"/>
    <s v="Low"/>
    <s v="Yes"/>
    <n v="215"/>
    <n v="17"/>
    <n v="24"/>
    <s v="No"/>
    <s v="No"/>
    <x v="1"/>
    <x v="1"/>
    <n v="2025"/>
    <s v="May"/>
    <s v="26-30"/>
    <s v="40K-60K"/>
  </r>
  <r>
    <s v="E0677"/>
    <x v="0"/>
    <x v="10"/>
    <x v="1"/>
    <x v="14"/>
    <s v="Senior"/>
    <n v="77099"/>
    <x v="611"/>
    <s v="Master's"/>
    <x v="4"/>
    <s v="Married"/>
    <n v="9"/>
    <n v="4"/>
    <n v="5"/>
    <s v="Good"/>
    <s v="No"/>
    <n v="216"/>
    <n v="23"/>
    <n v="20"/>
    <s v="No"/>
    <s v="No"/>
    <x v="1"/>
    <x v="1"/>
    <n v="2022"/>
    <s v="Sep"/>
    <s v="21-25"/>
    <s v="60K-90K"/>
  </r>
  <r>
    <s v="E0678"/>
    <x v="1"/>
    <x v="18"/>
    <x v="0"/>
    <x v="9"/>
    <s v="Mid-Level"/>
    <n v="42469"/>
    <x v="612"/>
    <s v="PhD"/>
    <x v="6"/>
    <s v="Married"/>
    <n v="3"/>
    <n v="1"/>
    <n v="2"/>
    <s v="Average"/>
    <s v="Yes"/>
    <n v="200"/>
    <n v="78"/>
    <n v="14"/>
    <s v="No"/>
    <s v="No"/>
    <x v="0"/>
    <x v="0"/>
    <n v="2026"/>
    <s v="Feb"/>
    <s v="41-50"/>
    <s v="40K-60K"/>
  </r>
  <r>
    <s v="E0679"/>
    <x v="0"/>
    <x v="21"/>
    <x v="7"/>
    <x v="20"/>
    <s v="Manager"/>
    <n v="105442"/>
    <x v="613"/>
    <s v="PhD"/>
    <x v="6"/>
    <s v="Divorced"/>
    <n v="19"/>
    <n v="5"/>
    <n v="3"/>
    <s v="Low"/>
    <s v="No"/>
    <n v="173"/>
    <n v="48"/>
    <n v="26"/>
    <s v="No"/>
    <s v="No"/>
    <x v="1"/>
    <x v="1"/>
    <n v="2022"/>
    <s v="Feb"/>
    <s v="36-40"/>
    <s v="90K-130K"/>
  </r>
  <r>
    <s v="E0680"/>
    <x v="0"/>
    <x v="26"/>
    <x v="3"/>
    <x v="4"/>
    <s v="Junior"/>
    <n v="32136"/>
    <x v="614"/>
    <s v="MBA"/>
    <x v="2"/>
    <s v="Married"/>
    <n v="0"/>
    <n v="4"/>
    <n v="1"/>
    <s v="Excellent"/>
    <s v="Yes"/>
    <n v="220"/>
    <n v="75"/>
    <n v="4"/>
    <s v="No"/>
    <s v="No"/>
    <x v="0"/>
    <x v="0"/>
    <n v="2021"/>
    <s v="Jul"/>
    <s v="36-40"/>
    <s v="&lt;40K"/>
  </r>
  <r>
    <s v="E0681"/>
    <x v="0"/>
    <x v="6"/>
    <x v="4"/>
    <x v="19"/>
    <s v="Mid-Level"/>
    <n v="69525"/>
    <x v="615"/>
    <s v="Master's"/>
    <x v="5"/>
    <s v="Divorced"/>
    <n v="7"/>
    <n v="1"/>
    <n v="2"/>
    <s v="Good"/>
    <s v="No"/>
    <n v="245"/>
    <n v="74"/>
    <n v="9"/>
    <s v="No"/>
    <s v="No"/>
    <x v="1"/>
    <x v="1"/>
    <n v="2021"/>
    <s v="Jun"/>
    <s v="36-40"/>
    <s v="60K-90K"/>
  </r>
  <r>
    <s v="E0682"/>
    <x v="1"/>
    <x v="10"/>
    <x v="6"/>
    <x v="7"/>
    <s v="Mid-Level"/>
    <n v="62804"/>
    <x v="174"/>
    <s v="MBA"/>
    <x v="5"/>
    <s v="Married"/>
    <n v="7"/>
    <n v="2"/>
    <n v="2"/>
    <s v="Good"/>
    <s v="No"/>
    <n v="228"/>
    <n v="54"/>
    <n v="30"/>
    <s v="No"/>
    <s v="No"/>
    <x v="1"/>
    <x v="2"/>
    <n v="2025"/>
    <s v="Dec"/>
    <s v="21-25"/>
    <s v="60K-90K"/>
  </r>
  <r>
    <s v="E0683"/>
    <x v="1"/>
    <x v="7"/>
    <x v="7"/>
    <x v="20"/>
    <s v="Mid-Level"/>
    <n v="65643"/>
    <x v="557"/>
    <s v="Diploma"/>
    <x v="1"/>
    <s v="Single"/>
    <n v="4"/>
    <n v="1"/>
    <n v="3"/>
    <s v="Excellent"/>
    <s v="No"/>
    <n v="221"/>
    <n v="22"/>
    <n v="6"/>
    <s v="No"/>
    <s v="No"/>
    <x v="1"/>
    <x v="1"/>
    <n v="2019"/>
    <s v="Jan"/>
    <s v="26-30"/>
    <s v="60K-90K"/>
  </r>
  <r>
    <s v="E0684"/>
    <x v="0"/>
    <x v="0"/>
    <x v="4"/>
    <x v="19"/>
    <s v="Manager"/>
    <n v="141249"/>
    <x v="616"/>
    <s v="PhD"/>
    <x v="1"/>
    <s v="Divorced"/>
    <n v="17"/>
    <n v="2"/>
    <n v="3"/>
    <s v="Average"/>
    <s v="Yes"/>
    <n v="178"/>
    <n v="31"/>
    <n v="16"/>
    <s v="Yes"/>
    <s v="No"/>
    <x v="0"/>
    <x v="0"/>
    <n v="2021"/>
    <s v="Mar"/>
    <s v="31-35"/>
    <s v="130K+"/>
  </r>
  <r>
    <s v="E0685"/>
    <x v="1"/>
    <x v="15"/>
    <x v="3"/>
    <x v="15"/>
    <s v="Junior"/>
    <n v="38196"/>
    <x v="617"/>
    <s v="Bachelor's"/>
    <x v="6"/>
    <s v="Single"/>
    <n v="0"/>
    <n v="5"/>
    <n v="4"/>
    <s v="Low"/>
    <s v="Yes"/>
    <n v="234"/>
    <n v="48"/>
    <n v="30"/>
    <s v="No"/>
    <s v="No"/>
    <x v="1"/>
    <x v="1"/>
    <n v="2026"/>
    <s v="Jan"/>
    <s v="21-25"/>
    <s v="&lt;40K"/>
  </r>
  <r>
    <s v="E0686"/>
    <x v="1"/>
    <x v="2"/>
    <x v="5"/>
    <x v="28"/>
    <s v="Manager"/>
    <n v="145824"/>
    <x v="360"/>
    <s v="Diploma"/>
    <x v="4"/>
    <s v="Single"/>
    <n v="17"/>
    <n v="4"/>
    <n v="3"/>
    <s v="Excellent"/>
    <s v="Yes"/>
    <n v="216"/>
    <n v="60"/>
    <n v="15"/>
    <s v="Yes"/>
    <s v="Yes"/>
    <x v="0"/>
    <x v="0"/>
    <n v="2020"/>
    <s v="Nov"/>
    <s v="36-40"/>
    <s v="130K+"/>
  </r>
  <r>
    <s v="E0687"/>
    <x v="0"/>
    <x v="4"/>
    <x v="5"/>
    <x v="6"/>
    <s v="Senior"/>
    <n v="106960"/>
    <x v="611"/>
    <s v="PhD"/>
    <x v="0"/>
    <s v="Divorced"/>
    <n v="13"/>
    <n v="4"/>
    <n v="3"/>
    <s v="Excellent"/>
    <s v="No"/>
    <n v="160"/>
    <n v="33"/>
    <n v="20"/>
    <s v="No"/>
    <s v="Yes"/>
    <x v="1"/>
    <x v="1"/>
    <n v="2022"/>
    <s v="Sep"/>
    <s v="26-30"/>
    <s v="90K-130K"/>
  </r>
  <r>
    <s v="E0688"/>
    <x v="0"/>
    <x v="17"/>
    <x v="7"/>
    <x v="17"/>
    <s v="Manager"/>
    <n v="95518"/>
    <x v="331"/>
    <s v="Master's"/>
    <x v="4"/>
    <s v="Divorced"/>
    <n v="17"/>
    <n v="5"/>
    <n v="1"/>
    <s v="Excellent"/>
    <s v="No"/>
    <n v="162"/>
    <n v="55"/>
    <n v="24"/>
    <s v="No"/>
    <s v="Yes"/>
    <x v="1"/>
    <x v="1"/>
    <n v="2020"/>
    <s v="Mar"/>
    <s v="26-30"/>
    <s v="90K-130K"/>
  </r>
  <r>
    <s v="E0689"/>
    <x v="1"/>
    <x v="2"/>
    <x v="7"/>
    <x v="17"/>
    <s v="Junior"/>
    <n v="41064"/>
    <x v="455"/>
    <s v="MBA"/>
    <x v="1"/>
    <s v="Married"/>
    <n v="3"/>
    <n v="1"/>
    <n v="2"/>
    <s v="Excellent"/>
    <s v="No"/>
    <n v="173"/>
    <n v="8"/>
    <n v="25"/>
    <s v="No"/>
    <s v="Yes"/>
    <x v="1"/>
    <x v="1"/>
    <n v="2026"/>
    <s v="Jul"/>
    <s v="36-40"/>
    <s v="40K-60K"/>
  </r>
  <r>
    <s v="E0690"/>
    <x v="1"/>
    <x v="0"/>
    <x v="3"/>
    <x v="3"/>
    <s v="Mid-Level"/>
    <n v="51064"/>
    <x v="618"/>
    <s v="Master's"/>
    <x v="0"/>
    <s v="Divorced"/>
    <n v="5"/>
    <n v="3"/>
    <n v="4"/>
    <s v="Good"/>
    <s v="No"/>
    <n v="231"/>
    <n v="56"/>
    <n v="26"/>
    <s v="No"/>
    <s v="No"/>
    <x v="1"/>
    <x v="1"/>
    <n v="2019"/>
    <s v="Jul"/>
    <s v="31-35"/>
    <s v="40K-60K"/>
  </r>
  <r>
    <s v="E0691"/>
    <x v="1"/>
    <x v="17"/>
    <x v="2"/>
    <x v="30"/>
    <s v="Senior"/>
    <n v="105396"/>
    <x v="619"/>
    <s v="MBA"/>
    <x v="6"/>
    <s v="Divorced"/>
    <n v="13"/>
    <n v="3"/>
    <n v="3"/>
    <s v="Average"/>
    <s v="Yes"/>
    <n v="242"/>
    <n v="53"/>
    <n v="8"/>
    <s v="No"/>
    <s v="Yes"/>
    <x v="1"/>
    <x v="2"/>
    <n v="2021"/>
    <s v="Jul"/>
    <s v="26-30"/>
    <s v="90K-130K"/>
  </r>
  <r>
    <s v="E0692"/>
    <x v="1"/>
    <x v="26"/>
    <x v="3"/>
    <x v="4"/>
    <s v="Senior"/>
    <n v="75434"/>
    <x v="620"/>
    <s v="Diploma"/>
    <x v="2"/>
    <s v="Divorced"/>
    <n v="7"/>
    <n v="1"/>
    <n v="1"/>
    <s v="Average"/>
    <s v="Yes"/>
    <n v="224"/>
    <n v="55"/>
    <n v="21"/>
    <s v="No"/>
    <s v="No"/>
    <x v="1"/>
    <x v="1"/>
    <n v="2022"/>
    <s v="Aug"/>
    <s v="36-40"/>
    <s v="60K-90K"/>
  </r>
  <r>
    <s v="E0693"/>
    <x v="0"/>
    <x v="10"/>
    <x v="2"/>
    <x v="23"/>
    <s v="Manager"/>
    <n v="124520"/>
    <x v="621"/>
    <s v="MBA"/>
    <x v="1"/>
    <s v="Married"/>
    <n v="10"/>
    <n v="5"/>
    <n v="3"/>
    <s v="Average"/>
    <s v="No"/>
    <n v="167"/>
    <n v="61"/>
    <n v="28"/>
    <s v="Yes"/>
    <s v="No"/>
    <x v="1"/>
    <x v="1"/>
    <n v="2022"/>
    <s v="Oct"/>
    <s v="21-25"/>
    <s v="90K-130K"/>
  </r>
  <r>
    <s v="E0694"/>
    <x v="0"/>
    <x v="2"/>
    <x v="5"/>
    <x v="28"/>
    <s v="Manager"/>
    <n v="119421"/>
    <x v="622"/>
    <s v="MBA"/>
    <x v="0"/>
    <s v="Single"/>
    <n v="19"/>
    <n v="2"/>
    <n v="2"/>
    <s v="Excellent"/>
    <s v="No"/>
    <n v="232"/>
    <n v="61"/>
    <n v="15"/>
    <s v="No"/>
    <s v="No"/>
    <x v="0"/>
    <x v="0"/>
    <n v="2021"/>
    <s v="Jun"/>
    <s v="36-40"/>
    <s v="90K-130K"/>
  </r>
  <r>
    <s v="E0695"/>
    <x v="0"/>
    <x v="2"/>
    <x v="4"/>
    <x v="19"/>
    <s v="Manager"/>
    <n v="140738"/>
    <x v="623"/>
    <s v="Master's"/>
    <x v="4"/>
    <s v="Divorced"/>
    <n v="19"/>
    <n v="3"/>
    <n v="3"/>
    <s v="Good"/>
    <s v="No"/>
    <n v="197"/>
    <n v="14"/>
    <n v="24"/>
    <s v="Yes"/>
    <s v="No"/>
    <x v="1"/>
    <x v="1"/>
    <n v="2021"/>
    <s v="Dec"/>
    <s v="36-40"/>
    <s v="130K+"/>
  </r>
  <r>
    <s v="E0696"/>
    <x v="0"/>
    <x v="17"/>
    <x v="6"/>
    <x v="7"/>
    <s v="Manager"/>
    <n v="131089"/>
    <x v="624"/>
    <s v="Diploma"/>
    <x v="5"/>
    <s v="Married"/>
    <n v="9"/>
    <n v="2"/>
    <n v="3"/>
    <s v="Excellent"/>
    <s v="No"/>
    <n v="239"/>
    <n v="68"/>
    <n v="20"/>
    <s v="No"/>
    <s v="No"/>
    <x v="1"/>
    <x v="1"/>
    <n v="2025"/>
    <s v="Oct"/>
    <s v="26-30"/>
    <s v="130K+"/>
  </r>
  <r>
    <s v="E0697"/>
    <x v="0"/>
    <x v="11"/>
    <x v="0"/>
    <x v="16"/>
    <s v="Junior"/>
    <n v="39390"/>
    <x v="345"/>
    <s v="Bachelor's"/>
    <x v="6"/>
    <s v="Married"/>
    <n v="3"/>
    <n v="1"/>
    <n v="3"/>
    <s v="Average"/>
    <s v="Yes"/>
    <n v="242"/>
    <n v="55"/>
    <n v="8"/>
    <s v="No"/>
    <s v="No"/>
    <x v="1"/>
    <x v="2"/>
    <n v="2020"/>
    <s v="Aug"/>
    <s v="31-35"/>
    <s v="&lt;40K"/>
  </r>
  <r>
    <s v="E0698"/>
    <x v="1"/>
    <x v="15"/>
    <x v="5"/>
    <x v="6"/>
    <s v="Mid-Level"/>
    <n v="60673"/>
    <x v="625"/>
    <s v="Diploma"/>
    <x v="5"/>
    <s v="Divorced"/>
    <n v="6"/>
    <n v="2"/>
    <n v="5"/>
    <s v="Good"/>
    <s v="No"/>
    <n v="225"/>
    <n v="80"/>
    <n v="5"/>
    <s v="Yes"/>
    <s v="No"/>
    <x v="1"/>
    <x v="1"/>
    <n v="2023"/>
    <s v="Jul"/>
    <s v="21-25"/>
    <s v="60K-90K"/>
  </r>
  <r>
    <s v="E0699"/>
    <x v="1"/>
    <x v="21"/>
    <x v="6"/>
    <x v="26"/>
    <s v="Mid-Level"/>
    <n v="61710"/>
    <x v="626"/>
    <s v="PhD"/>
    <x v="7"/>
    <s v="Married"/>
    <n v="3"/>
    <n v="1"/>
    <n v="4"/>
    <s v="Excellent"/>
    <s v="No"/>
    <n v="165"/>
    <n v="65"/>
    <n v="6"/>
    <s v="No"/>
    <s v="No"/>
    <x v="0"/>
    <x v="0"/>
    <n v="2021"/>
    <s v="Jan"/>
    <s v="36-40"/>
    <s v="60K-90K"/>
  </r>
  <r>
    <s v="E0700"/>
    <x v="0"/>
    <x v="4"/>
    <x v="2"/>
    <x v="30"/>
    <s v="Senior"/>
    <n v="76626"/>
    <x v="627"/>
    <s v="MBA"/>
    <x v="1"/>
    <s v="Married"/>
    <n v="11"/>
    <n v="4"/>
    <n v="1"/>
    <s v="Excellent"/>
    <s v="Yes"/>
    <n v="183"/>
    <n v="17"/>
    <n v="18"/>
    <s v="No"/>
    <s v="No"/>
    <x v="0"/>
    <x v="0"/>
    <n v="2021"/>
    <s v="Oct"/>
    <s v="26-30"/>
    <s v="60K-90K"/>
  </r>
  <r>
    <s v="E0701"/>
    <x v="0"/>
    <x v="7"/>
    <x v="0"/>
    <x v="10"/>
    <s v="Senior"/>
    <n v="71258"/>
    <x v="628"/>
    <s v="Diploma"/>
    <x v="4"/>
    <s v="Single"/>
    <n v="7"/>
    <n v="5"/>
    <n v="1"/>
    <s v="Average"/>
    <s v="Yes"/>
    <n v="191"/>
    <n v="29"/>
    <n v="22"/>
    <s v="No"/>
    <s v="No"/>
    <x v="1"/>
    <x v="2"/>
    <n v="2019"/>
    <s v="Jan"/>
    <s v="26-30"/>
    <s v="60K-90K"/>
  </r>
  <r>
    <s v="E0702"/>
    <x v="0"/>
    <x v="20"/>
    <x v="1"/>
    <x v="11"/>
    <s v="Junior"/>
    <n v="33068"/>
    <x v="629"/>
    <s v="PhD"/>
    <x v="5"/>
    <s v="Divorced"/>
    <n v="2"/>
    <n v="2"/>
    <n v="4"/>
    <s v="Low"/>
    <s v="No"/>
    <n v="258"/>
    <n v="73"/>
    <n v="30"/>
    <s v="Yes"/>
    <s v="No"/>
    <x v="1"/>
    <x v="1"/>
    <n v="2025"/>
    <s v="Jun"/>
    <s v="36-40"/>
    <s v="&lt;40K"/>
  </r>
  <r>
    <s v="E0703"/>
    <x v="1"/>
    <x v="16"/>
    <x v="2"/>
    <x v="30"/>
    <s v="Mid-Level"/>
    <n v="61336"/>
    <x v="386"/>
    <s v="MBA"/>
    <x v="6"/>
    <s v="Divorced"/>
    <n v="6"/>
    <n v="1"/>
    <n v="4"/>
    <s v="Excellent"/>
    <s v="Yes"/>
    <n v="227"/>
    <n v="62"/>
    <n v="5"/>
    <s v="No"/>
    <s v="No"/>
    <x v="1"/>
    <x v="1"/>
    <n v="2020"/>
    <s v="Nov"/>
    <s v="26-30"/>
    <s v="60K-90K"/>
  </r>
  <r>
    <s v="E0704"/>
    <x v="1"/>
    <x v="13"/>
    <x v="1"/>
    <x v="11"/>
    <s v="Mid-Level"/>
    <n v="49846"/>
    <x v="630"/>
    <s v="Diploma"/>
    <x v="1"/>
    <s v="Divorced"/>
    <n v="5"/>
    <n v="4"/>
    <n v="1"/>
    <s v="Low"/>
    <s v="No"/>
    <n v="157"/>
    <n v="46"/>
    <n v="18"/>
    <s v="No"/>
    <s v="No"/>
    <x v="1"/>
    <x v="2"/>
    <n v="2021"/>
    <s v="Feb"/>
    <s v="21-25"/>
    <s v="40K-60K"/>
  </r>
  <r>
    <s v="E0705"/>
    <x v="0"/>
    <x v="9"/>
    <x v="5"/>
    <x v="6"/>
    <s v="Mid-Level"/>
    <n v="56676"/>
    <x v="631"/>
    <s v="PhD"/>
    <x v="1"/>
    <s v="Married"/>
    <n v="3"/>
    <n v="4"/>
    <n v="4"/>
    <s v="Excellent"/>
    <s v="No"/>
    <n v="198"/>
    <n v="54"/>
    <n v="11"/>
    <s v="No"/>
    <s v="Yes"/>
    <x v="1"/>
    <x v="1"/>
    <n v="2022"/>
    <s v="Apr"/>
    <s v="21-25"/>
    <s v="40K-60K"/>
  </r>
  <r>
    <s v="E0706"/>
    <x v="0"/>
    <x v="2"/>
    <x v="0"/>
    <x v="9"/>
    <s v="Junior"/>
    <n v="38063"/>
    <x v="351"/>
    <s v="PhD"/>
    <x v="0"/>
    <s v="Married"/>
    <n v="1"/>
    <n v="3"/>
    <n v="1"/>
    <s v="Low"/>
    <s v="No"/>
    <n v="153"/>
    <n v="60"/>
    <n v="25"/>
    <s v="No"/>
    <s v="Yes"/>
    <x v="1"/>
    <x v="1"/>
    <n v="2026"/>
    <s v="Mar"/>
    <s v="36-40"/>
    <s v="&lt;40K"/>
  </r>
  <r>
    <s v="E0707"/>
    <x v="1"/>
    <x v="15"/>
    <x v="0"/>
    <x v="9"/>
    <s v="Junior"/>
    <n v="42982"/>
    <x v="632"/>
    <s v="Diploma"/>
    <x v="5"/>
    <s v="Single"/>
    <n v="1"/>
    <n v="3"/>
    <n v="1"/>
    <s v="Excellent"/>
    <s v="No"/>
    <n v="176"/>
    <n v="31"/>
    <n v="30"/>
    <s v="No"/>
    <s v="No"/>
    <x v="1"/>
    <x v="1"/>
    <n v="2021"/>
    <s v="Jun"/>
    <s v="21-25"/>
    <s v="40K-60K"/>
  </r>
  <r>
    <s v="E0708"/>
    <x v="1"/>
    <x v="18"/>
    <x v="0"/>
    <x v="9"/>
    <s v="Senior"/>
    <n v="76603"/>
    <x v="61"/>
    <s v="Diploma"/>
    <x v="2"/>
    <s v="Married"/>
    <n v="11"/>
    <n v="3"/>
    <n v="4"/>
    <s v="Good"/>
    <s v="Yes"/>
    <n v="169"/>
    <n v="31"/>
    <n v="30"/>
    <s v="No"/>
    <s v="No"/>
    <x v="1"/>
    <x v="1"/>
    <n v="2021"/>
    <s v="Jul"/>
    <s v="41-50"/>
    <s v="60K-90K"/>
  </r>
  <r>
    <s v="E0709"/>
    <x v="1"/>
    <x v="9"/>
    <x v="0"/>
    <x v="16"/>
    <s v="Manager"/>
    <n v="139431"/>
    <x v="633"/>
    <s v="PhD"/>
    <x v="3"/>
    <s v="Divorced"/>
    <n v="12"/>
    <n v="4"/>
    <n v="3"/>
    <s v="Average"/>
    <s v="No"/>
    <n v="151"/>
    <n v="14"/>
    <n v="22"/>
    <s v="Yes"/>
    <s v="No"/>
    <x v="0"/>
    <x v="0"/>
    <n v="2021"/>
    <s v="Feb"/>
    <s v="21-25"/>
    <s v="130K+"/>
  </r>
  <r>
    <s v="E0710"/>
    <x v="0"/>
    <x v="5"/>
    <x v="6"/>
    <x v="24"/>
    <s v="Junior"/>
    <n v="34008"/>
    <x v="386"/>
    <s v="Diploma"/>
    <x v="2"/>
    <s v="Single"/>
    <n v="2"/>
    <n v="3"/>
    <n v="4"/>
    <s v="Low"/>
    <s v="No"/>
    <n v="218"/>
    <n v="55"/>
    <n v="28"/>
    <s v="Yes"/>
    <s v="No"/>
    <x v="1"/>
    <x v="1"/>
    <n v="2020"/>
    <s v="Nov"/>
    <s v="41-50"/>
    <s v="&lt;40K"/>
  </r>
  <r>
    <s v="E0711"/>
    <x v="1"/>
    <x v="8"/>
    <x v="1"/>
    <x v="14"/>
    <s v="Junior"/>
    <n v="43366"/>
    <x v="531"/>
    <s v="Bachelor's"/>
    <x v="0"/>
    <s v="Married"/>
    <n v="3"/>
    <n v="1"/>
    <n v="2"/>
    <s v="Good"/>
    <s v="Yes"/>
    <n v="256"/>
    <n v="61"/>
    <n v="25"/>
    <s v="Yes"/>
    <s v="No"/>
    <x v="0"/>
    <x v="0"/>
    <n v="2020"/>
    <s v="Mar"/>
    <s v="31-35"/>
    <s v="40K-60K"/>
  </r>
  <r>
    <s v="E0712"/>
    <x v="1"/>
    <x v="1"/>
    <x v="0"/>
    <x v="9"/>
    <s v="Mid-Level"/>
    <n v="65753"/>
    <x v="634"/>
    <s v="MBA"/>
    <x v="6"/>
    <s v="Single"/>
    <n v="4"/>
    <n v="5"/>
    <n v="1"/>
    <s v="Low"/>
    <s v="Yes"/>
    <n v="193"/>
    <n v="55"/>
    <n v="14"/>
    <s v="Yes"/>
    <s v="No"/>
    <x v="1"/>
    <x v="1"/>
    <n v="2019"/>
    <s v="Jun"/>
    <s v="31-35"/>
    <s v="60K-90K"/>
  </r>
  <r>
    <s v="E0713"/>
    <x v="0"/>
    <x v="7"/>
    <x v="1"/>
    <x v="14"/>
    <s v="Mid-Level"/>
    <n v="53006"/>
    <x v="445"/>
    <s v="MBA"/>
    <x v="3"/>
    <s v="Single"/>
    <n v="7"/>
    <n v="1"/>
    <n v="4"/>
    <s v="Good"/>
    <s v="Yes"/>
    <n v="257"/>
    <n v="12"/>
    <n v="5"/>
    <s v="No"/>
    <s v="No"/>
    <x v="1"/>
    <x v="1"/>
    <n v="2023"/>
    <s v="Dec"/>
    <s v="26-30"/>
    <s v="40K-60K"/>
  </r>
  <r>
    <s v="E0714"/>
    <x v="1"/>
    <x v="11"/>
    <x v="0"/>
    <x v="9"/>
    <s v="Senior"/>
    <n v="89272"/>
    <x v="635"/>
    <s v="PhD"/>
    <x v="1"/>
    <s v="Single"/>
    <n v="5"/>
    <n v="1"/>
    <n v="2"/>
    <s v="Low"/>
    <s v="Yes"/>
    <n v="198"/>
    <n v="77"/>
    <n v="19"/>
    <s v="Yes"/>
    <s v="Yes"/>
    <x v="1"/>
    <x v="1"/>
    <n v="2020"/>
    <s v="Aug"/>
    <s v="31-35"/>
    <s v="60K-90K"/>
  </r>
  <r>
    <s v="E0715"/>
    <x v="1"/>
    <x v="1"/>
    <x v="4"/>
    <x v="5"/>
    <s v="Manager"/>
    <n v="148939"/>
    <x v="636"/>
    <s v="Master's"/>
    <x v="6"/>
    <s v="Divorced"/>
    <n v="19"/>
    <n v="4"/>
    <n v="5"/>
    <s v="Good"/>
    <s v="No"/>
    <n v="194"/>
    <n v="33"/>
    <n v="6"/>
    <s v="No"/>
    <s v="No"/>
    <x v="1"/>
    <x v="1"/>
    <n v="2021"/>
    <s v="Aug"/>
    <s v="31-35"/>
    <s v="130K+"/>
  </r>
  <r>
    <s v="E0716"/>
    <x v="1"/>
    <x v="20"/>
    <x v="5"/>
    <x v="13"/>
    <s v="Senior"/>
    <n v="66372"/>
    <x v="590"/>
    <s v="Master's"/>
    <x v="4"/>
    <s v="Single"/>
    <n v="11"/>
    <n v="2"/>
    <n v="1"/>
    <s v="Excellent"/>
    <s v="No"/>
    <n v="202"/>
    <n v="58"/>
    <n v="30"/>
    <s v="No"/>
    <s v="No"/>
    <x v="1"/>
    <x v="2"/>
    <n v="2022"/>
    <s v="May"/>
    <s v="36-40"/>
    <s v="60K-90K"/>
  </r>
  <r>
    <s v="E0717"/>
    <x v="1"/>
    <x v="14"/>
    <x v="7"/>
    <x v="17"/>
    <s v="Manager"/>
    <n v="137652"/>
    <x v="637"/>
    <s v="Master's"/>
    <x v="0"/>
    <s v="Divorced"/>
    <n v="13"/>
    <n v="4"/>
    <n v="2"/>
    <s v="Good"/>
    <s v="No"/>
    <n v="217"/>
    <n v="64"/>
    <n v="19"/>
    <s v="No"/>
    <s v="No"/>
    <x v="1"/>
    <x v="1"/>
    <n v="2022"/>
    <s v="Aug"/>
    <s v="31-35"/>
    <s v="130K+"/>
  </r>
  <r>
    <s v="E0718"/>
    <x v="1"/>
    <x v="8"/>
    <x v="1"/>
    <x v="1"/>
    <s v="Mid-Level"/>
    <n v="57408"/>
    <x v="532"/>
    <s v="MBA"/>
    <x v="3"/>
    <s v="Divorced"/>
    <n v="2"/>
    <n v="4"/>
    <n v="3"/>
    <s v="Excellent"/>
    <s v="No"/>
    <n v="202"/>
    <n v="71"/>
    <n v="15"/>
    <s v="Yes"/>
    <s v="Yes"/>
    <x v="1"/>
    <x v="2"/>
    <n v="2025"/>
    <s v="Feb"/>
    <s v="31-35"/>
    <s v="40K-60K"/>
  </r>
  <r>
    <s v="E0719"/>
    <x v="0"/>
    <x v="17"/>
    <x v="1"/>
    <x v="1"/>
    <s v="Mid-Level"/>
    <n v="50956"/>
    <x v="638"/>
    <s v="MBA"/>
    <x v="6"/>
    <s v="Single"/>
    <n v="7"/>
    <n v="5"/>
    <n v="2"/>
    <s v="Average"/>
    <s v="No"/>
    <n v="201"/>
    <n v="67"/>
    <n v="12"/>
    <s v="No"/>
    <s v="No"/>
    <x v="1"/>
    <x v="1"/>
    <n v="2026"/>
    <s v="Aug"/>
    <s v="26-30"/>
    <s v="40K-60K"/>
  </r>
  <r>
    <s v="E0720"/>
    <x v="0"/>
    <x v="1"/>
    <x v="2"/>
    <x v="23"/>
    <s v="Junior"/>
    <n v="28284"/>
    <x v="639"/>
    <s v="MBA"/>
    <x v="1"/>
    <s v="Married"/>
    <n v="0"/>
    <n v="1"/>
    <n v="3"/>
    <s v="Good"/>
    <s v="No"/>
    <n v="175"/>
    <n v="79"/>
    <n v="30"/>
    <s v="No"/>
    <s v="No"/>
    <x v="1"/>
    <x v="2"/>
    <n v="2022"/>
    <s v="Sep"/>
    <s v="31-35"/>
    <s v="&lt;40K"/>
  </r>
  <r>
    <s v="E0721"/>
    <x v="1"/>
    <x v="11"/>
    <x v="6"/>
    <x v="22"/>
    <s v="Senior"/>
    <n v="71651"/>
    <x v="640"/>
    <s v="Diploma"/>
    <x v="6"/>
    <s v="Divorced"/>
    <n v="13"/>
    <n v="2"/>
    <n v="2"/>
    <s v="Good"/>
    <s v="No"/>
    <n v="165"/>
    <n v="36"/>
    <n v="5"/>
    <s v="No"/>
    <s v="No"/>
    <x v="0"/>
    <x v="0"/>
    <n v="2020"/>
    <s v="Oct"/>
    <s v="31-35"/>
    <s v="60K-90K"/>
  </r>
  <r>
    <s v="E0722"/>
    <x v="0"/>
    <x v="9"/>
    <x v="7"/>
    <x v="29"/>
    <s v="Junior"/>
    <n v="32443"/>
    <x v="641"/>
    <s v="MBA"/>
    <x v="6"/>
    <s v="Divorced"/>
    <n v="3"/>
    <n v="4"/>
    <n v="4"/>
    <s v="Average"/>
    <s v="Yes"/>
    <n v="248"/>
    <n v="62"/>
    <n v="30"/>
    <s v="Yes"/>
    <s v="Yes"/>
    <x v="1"/>
    <x v="2"/>
    <n v="2024"/>
    <s v="Apr"/>
    <s v="21-25"/>
    <s v="&lt;40K"/>
  </r>
  <r>
    <s v="E0723"/>
    <x v="1"/>
    <x v="13"/>
    <x v="3"/>
    <x v="15"/>
    <s v="Senior"/>
    <n v="69514"/>
    <x v="642"/>
    <s v="Master's"/>
    <x v="4"/>
    <s v="Married"/>
    <n v="7"/>
    <n v="5"/>
    <n v="3"/>
    <s v="Low"/>
    <s v="No"/>
    <n v="200"/>
    <n v="50"/>
    <n v="21"/>
    <s v="No"/>
    <s v="No"/>
    <x v="1"/>
    <x v="1"/>
    <n v="2020"/>
    <s v="Jul"/>
    <s v="21-25"/>
    <s v="60K-90K"/>
  </r>
  <r>
    <s v="E0724"/>
    <x v="1"/>
    <x v="6"/>
    <x v="6"/>
    <x v="22"/>
    <s v="Senior"/>
    <n v="77584"/>
    <x v="643"/>
    <s v="Master's"/>
    <x v="2"/>
    <s v="Married"/>
    <n v="13"/>
    <n v="5"/>
    <n v="1"/>
    <s v="Excellent"/>
    <s v="No"/>
    <n v="190"/>
    <n v="60"/>
    <n v="12"/>
    <s v="Yes"/>
    <s v="No"/>
    <x v="0"/>
    <x v="0"/>
    <n v="2022"/>
    <s v="Feb"/>
    <s v="36-40"/>
    <s v="60K-90K"/>
  </r>
  <r>
    <s v="E0725"/>
    <x v="1"/>
    <x v="8"/>
    <x v="7"/>
    <x v="29"/>
    <s v="Senior"/>
    <n v="101128"/>
    <x v="644"/>
    <s v="Master's"/>
    <x v="6"/>
    <s v="Married"/>
    <n v="5"/>
    <n v="5"/>
    <n v="1"/>
    <s v="Excellent"/>
    <s v="No"/>
    <n v="223"/>
    <n v="9"/>
    <n v="24"/>
    <s v="No"/>
    <s v="Yes"/>
    <x v="1"/>
    <x v="1"/>
    <n v="2020"/>
    <s v="Jun"/>
    <s v="31-35"/>
    <s v="90K-130K"/>
  </r>
  <r>
    <s v="E0726"/>
    <x v="1"/>
    <x v="4"/>
    <x v="3"/>
    <x v="3"/>
    <s v="Manager"/>
    <n v="143371"/>
    <x v="645"/>
    <s v="MBA"/>
    <x v="1"/>
    <s v="Married"/>
    <n v="19"/>
    <n v="2"/>
    <n v="3"/>
    <s v="Low"/>
    <s v="No"/>
    <n v="183"/>
    <n v="45"/>
    <n v="29"/>
    <s v="No"/>
    <s v="No"/>
    <x v="1"/>
    <x v="1"/>
    <n v="2022"/>
    <s v="Nov"/>
    <s v="26-30"/>
    <s v="130K+"/>
  </r>
  <r>
    <s v="E0727"/>
    <x v="0"/>
    <x v="14"/>
    <x v="6"/>
    <x v="7"/>
    <s v="Mid-Level"/>
    <n v="44438"/>
    <x v="646"/>
    <s v="Bachelor's"/>
    <x v="5"/>
    <s v="Divorced"/>
    <n v="3"/>
    <n v="1"/>
    <n v="2"/>
    <s v="Low"/>
    <s v="No"/>
    <n v="252"/>
    <n v="48"/>
    <n v="29"/>
    <s v="No"/>
    <s v="No"/>
    <x v="1"/>
    <x v="1"/>
    <n v="2023"/>
    <s v="Mar"/>
    <s v="31-35"/>
    <s v="40K-60K"/>
  </r>
  <r>
    <s v="E0728"/>
    <x v="0"/>
    <x v="11"/>
    <x v="7"/>
    <x v="20"/>
    <s v="Junior"/>
    <n v="31996"/>
    <x v="647"/>
    <s v="Master's"/>
    <x v="0"/>
    <s v="Single"/>
    <n v="0"/>
    <n v="2"/>
    <n v="1"/>
    <s v="Low"/>
    <s v="Yes"/>
    <n v="161"/>
    <n v="54"/>
    <n v="12"/>
    <s v="No"/>
    <s v="Yes"/>
    <x v="0"/>
    <x v="0"/>
    <n v="2020"/>
    <s v="Jul"/>
    <s v="31-35"/>
    <s v="&lt;40K"/>
  </r>
  <r>
    <s v="E0729"/>
    <x v="0"/>
    <x v="7"/>
    <x v="7"/>
    <x v="8"/>
    <s v="Manager"/>
    <n v="114387"/>
    <x v="503"/>
    <s v="Master's"/>
    <x v="2"/>
    <s v="Single"/>
    <n v="15"/>
    <n v="5"/>
    <n v="1"/>
    <s v="Average"/>
    <s v="No"/>
    <n v="173"/>
    <n v="20"/>
    <n v="24"/>
    <s v="Yes"/>
    <s v="Yes"/>
    <x v="0"/>
    <x v="0"/>
    <n v="2022"/>
    <s v="Mar"/>
    <s v="26-30"/>
    <s v="90K-130K"/>
  </r>
  <r>
    <s v="E0730"/>
    <x v="0"/>
    <x v="19"/>
    <x v="6"/>
    <x v="22"/>
    <s v="Mid-Level"/>
    <n v="47322"/>
    <x v="648"/>
    <s v="MBA"/>
    <x v="4"/>
    <s v="Divorced"/>
    <n v="5"/>
    <n v="5"/>
    <n v="3"/>
    <s v="Average"/>
    <s v="No"/>
    <n v="202"/>
    <n v="72"/>
    <n v="2"/>
    <s v="No"/>
    <s v="No"/>
    <x v="1"/>
    <x v="1"/>
    <n v="2026"/>
    <s v="Feb"/>
    <s v="26-30"/>
    <s v="40K-60K"/>
  </r>
  <r>
    <s v="E0731"/>
    <x v="1"/>
    <x v="8"/>
    <x v="6"/>
    <x v="7"/>
    <s v="Junior"/>
    <n v="30057"/>
    <x v="649"/>
    <s v="Bachelor's"/>
    <x v="4"/>
    <s v="Divorced"/>
    <n v="3"/>
    <n v="1"/>
    <n v="5"/>
    <s v="Good"/>
    <s v="No"/>
    <n v="160"/>
    <n v="13"/>
    <n v="20"/>
    <s v="No"/>
    <s v="No"/>
    <x v="0"/>
    <x v="0"/>
    <n v="2022"/>
    <s v="Nov"/>
    <s v="31-35"/>
    <s v="&lt;40K"/>
  </r>
  <r>
    <s v="E0732"/>
    <x v="1"/>
    <x v="12"/>
    <x v="7"/>
    <x v="20"/>
    <s v="Manager"/>
    <n v="138554"/>
    <x v="650"/>
    <s v="Master's"/>
    <x v="5"/>
    <s v="Divorced"/>
    <n v="15"/>
    <n v="4"/>
    <n v="3"/>
    <s v="Good"/>
    <s v="No"/>
    <n v="245"/>
    <n v="57"/>
    <n v="16"/>
    <s v="No"/>
    <s v="No"/>
    <x v="1"/>
    <x v="1"/>
    <n v="2022"/>
    <s v="May"/>
    <s v="21-25"/>
    <s v="130K+"/>
  </r>
  <r>
    <s v="E0733"/>
    <x v="1"/>
    <x v="11"/>
    <x v="7"/>
    <x v="17"/>
    <s v="Manager"/>
    <n v="110012"/>
    <x v="651"/>
    <s v="Master's"/>
    <x v="7"/>
    <s v="Married"/>
    <n v="10"/>
    <n v="4"/>
    <n v="1"/>
    <s v="Low"/>
    <s v="Yes"/>
    <n v="250"/>
    <n v="60"/>
    <n v="27"/>
    <s v="No"/>
    <s v="No"/>
    <x v="1"/>
    <x v="1"/>
    <n v="2023"/>
    <s v="Apr"/>
    <s v="31-35"/>
    <s v="90K-130K"/>
  </r>
  <r>
    <s v="E0734"/>
    <x v="0"/>
    <x v="9"/>
    <x v="6"/>
    <x v="26"/>
    <s v="Junior"/>
    <n v="28537"/>
    <x v="652"/>
    <s v="Master's"/>
    <x v="2"/>
    <s v="Divorced"/>
    <n v="3"/>
    <n v="2"/>
    <n v="3"/>
    <s v="Good"/>
    <s v="No"/>
    <n v="175"/>
    <n v="34"/>
    <n v="8"/>
    <s v="No"/>
    <s v="Yes"/>
    <x v="1"/>
    <x v="2"/>
    <n v="2024"/>
    <s v="Apr"/>
    <s v="21-25"/>
    <s v="&lt;40K"/>
  </r>
  <r>
    <s v="E0735"/>
    <x v="1"/>
    <x v="20"/>
    <x v="4"/>
    <x v="19"/>
    <s v="Manager"/>
    <n v="97832"/>
    <x v="653"/>
    <s v="Diploma"/>
    <x v="6"/>
    <s v="Single"/>
    <n v="13"/>
    <n v="1"/>
    <n v="3"/>
    <s v="Excellent"/>
    <s v="No"/>
    <n v="211"/>
    <n v="67"/>
    <n v="2"/>
    <s v="No"/>
    <s v="No"/>
    <x v="0"/>
    <x v="0"/>
    <n v="2020"/>
    <s v="Mar"/>
    <s v="36-40"/>
    <s v="90K-130K"/>
  </r>
  <r>
    <s v="E0736"/>
    <x v="0"/>
    <x v="0"/>
    <x v="3"/>
    <x v="3"/>
    <s v="Manager"/>
    <n v="105970"/>
    <x v="474"/>
    <s v="Master's"/>
    <x v="4"/>
    <s v="Divorced"/>
    <n v="17"/>
    <n v="5"/>
    <n v="3"/>
    <s v="Excellent"/>
    <s v="No"/>
    <n v="242"/>
    <n v="13"/>
    <n v="2"/>
    <s v="No"/>
    <s v="No"/>
    <x v="1"/>
    <x v="1"/>
    <n v="2020"/>
    <s v="Jun"/>
    <s v="31-35"/>
    <s v="90K-130K"/>
  </r>
  <r>
    <s v="E0737"/>
    <x v="1"/>
    <x v="8"/>
    <x v="1"/>
    <x v="14"/>
    <s v="Senior"/>
    <n v="80298"/>
    <x v="654"/>
    <s v="Master's"/>
    <x v="4"/>
    <s v="Divorced"/>
    <n v="10"/>
    <n v="4"/>
    <n v="3"/>
    <s v="Average"/>
    <s v="No"/>
    <n v="193"/>
    <n v="80"/>
    <n v="21"/>
    <s v="Yes"/>
    <s v="No"/>
    <x v="1"/>
    <x v="1"/>
    <n v="2026"/>
    <s v="Feb"/>
    <s v="31-35"/>
    <s v="60K-90K"/>
  </r>
  <r>
    <s v="E0738"/>
    <x v="1"/>
    <x v="21"/>
    <x v="7"/>
    <x v="29"/>
    <s v="Senior"/>
    <n v="98486"/>
    <x v="458"/>
    <s v="MBA"/>
    <x v="1"/>
    <s v="Married"/>
    <n v="6"/>
    <n v="2"/>
    <n v="5"/>
    <s v="Excellent"/>
    <s v="No"/>
    <n v="160"/>
    <n v="29"/>
    <n v="27"/>
    <s v="No"/>
    <s v="No"/>
    <x v="1"/>
    <x v="1"/>
    <n v="2023"/>
    <s v="Apr"/>
    <s v="36-40"/>
    <s v="90K-130K"/>
  </r>
  <r>
    <s v="E0739"/>
    <x v="1"/>
    <x v="5"/>
    <x v="0"/>
    <x v="16"/>
    <s v="Mid-Level"/>
    <n v="49318"/>
    <x v="426"/>
    <s v="MBA"/>
    <x v="6"/>
    <s v="Married"/>
    <n v="7"/>
    <n v="3"/>
    <n v="3"/>
    <s v="Average"/>
    <s v="No"/>
    <n v="211"/>
    <n v="29"/>
    <n v="21"/>
    <s v="No"/>
    <s v="No"/>
    <x v="1"/>
    <x v="1"/>
    <n v="2019"/>
    <s v="Jan"/>
    <s v="41-50"/>
    <s v="40K-60K"/>
  </r>
  <r>
    <s v="E0740"/>
    <x v="1"/>
    <x v="20"/>
    <x v="0"/>
    <x v="9"/>
    <s v="Senior"/>
    <n v="81267"/>
    <x v="655"/>
    <s v="Bachelor's"/>
    <x v="7"/>
    <s v="Single"/>
    <n v="11"/>
    <n v="1"/>
    <n v="3"/>
    <s v="Good"/>
    <s v="No"/>
    <n v="176"/>
    <n v="64"/>
    <n v="26"/>
    <s v="Yes"/>
    <s v="No"/>
    <x v="1"/>
    <x v="2"/>
    <n v="2023"/>
    <s v="Sep"/>
    <s v="36-40"/>
    <s v="60K-90K"/>
  </r>
  <r>
    <s v="E0741"/>
    <x v="1"/>
    <x v="9"/>
    <x v="6"/>
    <x v="24"/>
    <s v="Senior"/>
    <n v="72061"/>
    <x v="656"/>
    <s v="Diploma"/>
    <x v="3"/>
    <s v="Married"/>
    <n v="9"/>
    <n v="3"/>
    <n v="2"/>
    <s v="Low"/>
    <s v="No"/>
    <n v="227"/>
    <n v="20"/>
    <n v="3"/>
    <s v="No"/>
    <s v="No"/>
    <x v="1"/>
    <x v="2"/>
    <n v="2024"/>
    <s v="Feb"/>
    <s v="21-25"/>
    <s v="60K-90K"/>
  </r>
  <r>
    <s v="E0742"/>
    <x v="1"/>
    <x v="15"/>
    <x v="6"/>
    <x v="22"/>
    <s v="Manager"/>
    <n v="93337"/>
    <x v="657"/>
    <s v="MBA"/>
    <x v="5"/>
    <s v="Divorced"/>
    <n v="18"/>
    <n v="3"/>
    <n v="4"/>
    <s v="Low"/>
    <s v="Yes"/>
    <n v="191"/>
    <n v="21"/>
    <n v="17"/>
    <s v="Yes"/>
    <s v="Yes"/>
    <x v="1"/>
    <x v="1"/>
    <n v="2023"/>
    <s v="Nov"/>
    <s v="21-25"/>
    <s v="90K-130K"/>
  </r>
  <r>
    <s v="E0743"/>
    <x v="0"/>
    <x v="16"/>
    <x v="6"/>
    <x v="7"/>
    <s v="Mid-Level"/>
    <n v="65391"/>
    <x v="658"/>
    <s v="Bachelor's"/>
    <x v="6"/>
    <s v="Married"/>
    <n v="3"/>
    <n v="3"/>
    <n v="3"/>
    <s v="Low"/>
    <s v="No"/>
    <n v="160"/>
    <n v="72"/>
    <n v="15"/>
    <s v="No"/>
    <s v="No"/>
    <x v="1"/>
    <x v="2"/>
    <n v="2020"/>
    <s v="Jan"/>
    <s v="26-30"/>
    <s v="60K-90K"/>
  </r>
  <r>
    <s v="E0744"/>
    <x v="0"/>
    <x v="14"/>
    <x v="2"/>
    <x v="12"/>
    <s v="Manager"/>
    <n v="110848"/>
    <x v="659"/>
    <s v="Master's"/>
    <x v="6"/>
    <s v="Single"/>
    <n v="9"/>
    <n v="2"/>
    <n v="2"/>
    <s v="Low"/>
    <s v="Yes"/>
    <n v="232"/>
    <n v="33"/>
    <n v="26"/>
    <s v="Yes"/>
    <s v="Yes"/>
    <x v="0"/>
    <x v="0"/>
    <n v="2021"/>
    <s v="Dec"/>
    <s v="31-35"/>
    <s v="90K-130K"/>
  </r>
  <r>
    <s v="E0745"/>
    <x v="0"/>
    <x v="0"/>
    <x v="6"/>
    <x v="22"/>
    <s v="Senior"/>
    <n v="90396"/>
    <x v="660"/>
    <s v="Bachelor's"/>
    <x v="0"/>
    <s v="Divorced"/>
    <n v="11"/>
    <n v="5"/>
    <n v="3"/>
    <s v="Low"/>
    <s v="No"/>
    <n v="153"/>
    <n v="31"/>
    <n v="9"/>
    <s v="No"/>
    <s v="No"/>
    <x v="1"/>
    <x v="2"/>
    <n v="2019"/>
    <s v="Mar"/>
    <s v="31-35"/>
    <s v="90K-130K"/>
  </r>
  <r>
    <s v="E0746"/>
    <x v="0"/>
    <x v="19"/>
    <x v="3"/>
    <x v="15"/>
    <s v="Senior"/>
    <n v="98367"/>
    <x v="237"/>
    <s v="MBA"/>
    <x v="7"/>
    <s v="Single"/>
    <n v="7"/>
    <n v="2"/>
    <n v="2"/>
    <s v="Average"/>
    <s v="No"/>
    <n v="150"/>
    <n v="37"/>
    <n v="12"/>
    <s v="Yes"/>
    <s v="No"/>
    <x v="1"/>
    <x v="1"/>
    <n v="2023"/>
    <s v="Jun"/>
    <s v="26-30"/>
    <s v="90K-130K"/>
  </r>
  <r>
    <s v="E0747"/>
    <x v="1"/>
    <x v="8"/>
    <x v="4"/>
    <x v="27"/>
    <s v="Senior"/>
    <n v="94599"/>
    <x v="661"/>
    <s v="PhD"/>
    <x v="1"/>
    <s v="Divorced"/>
    <n v="5"/>
    <n v="5"/>
    <n v="5"/>
    <s v="Average"/>
    <s v="No"/>
    <n v="176"/>
    <n v="30"/>
    <n v="26"/>
    <s v="No"/>
    <s v="No"/>
    <x v="1"/>
    <x v="1"/>
    <n v="2023"/>
    <s v="Dec"/>
    <s v="31-35"/>
    <s v="90K-130K"/>
  </r>
  <r>
    <s v="E0748"/>
    <x v="0"/>
    <x v="19"/>
    <x v="5"/>
    <x v="6"/>
    <s v="Manager"/>
    <n v="97126"/>
    <x v="662"/>
    <s v="Master's"/>
    <x v="3"/>
    <s v="Married"/>
    <n v="18"/>
    <n v="2"/>
    <n v="5"/>
    <s v="Average"/>
    <s v="No"/>
    <n v="177"/>
    <n v="68"/>
    <n v="25"/>
    <s v="No"/>
    <s v="Yes"/>
    <x v="1"/>
    <x v="1"/>
    <n v="2026"/>
    <s v="Jan"/>
    <s v="26-30"/>
    <s v="90K-130K"/>
  </r>
  <r>
    <s v="E0749"/>
    <x v="1"/>
    <x v="16"/>
    <x v="4"/>
    <x v="19"/>
    <s v="Manager"/>
    <n v="152937"/>
    <x v="79"/>
    <s v="Bachelor's"/>
    <x v="5"/>
    <s v="Single"/>
    <n v="16"/>
    <n v="3"/>
    <n v="2"/>
    <s v="Good"/>
    <s v="Yes"/>
    <n v="228"/>
    <n v="5"/>
    <n v="11"/>
    <s v="No"/>
    <s v="Yes"/>
    <x v="1"/>
    <x v="2"/>
    <n v="2025"/>
    <s v="Sep"/>
    <s v="26-30"/>
    <s v="130K+"/>
  </r>
  <r>
    <s v="E0750"/>
    <x v="0"/>
    <x v="13"/>
    <x v="2"/>
    <x v="23"/>
    <s v="Senior"/>
    <n v="79110"/>
    <x v="8"/>
    <s v="Bachelor's"/>
    <x v="1"/>
    <s v="Married"/>
    <n v="8"/>
    <n v="3"/>
    <n v="1"/>
    <s v="Average"/>
    <s v="No"/>
    <n v="203"/>
    <n v="38"/>
    <n v="16"/>
    <s v="Yes"/>
    <s v="Yes"/>
    <x v="1"/>
    <x v="1"/>
    <n v="2023"/>
    <s v="Sep"/>
    <s v="21-25"/>
    <s v="60K-90K"/>
  </r>
  <r>
    <s v="E0751"/>
    <x v="0"/>
    <x v="12"/>
    <x v="7"/>
    <x v="8"/>
    <s v="Junior"/>
    <n v="31689"/>
    <x v="663"/>
    <s v="Diploma"/>
    <x v="6"/>
    <s v="Single"/>
    <n v="0"/>
    <n v="4"/>
    <n v="5"/>
    <s v="Average"/>
    <s v="No"/>
    <n v="221"/>
    <n v="32"/>
    <n v="4"/>
    <s v="No"/>
    <s v="No"/>
    <x v="1"/>
    <x v="2"/>
    <n v="2021"/>
    <s v="Aug"/>
    <s v="21-25"/>
    <s v="&lt;40K"/>
  </r>
  <r>
    <s v="E0752"/>
    <x v="0"/>
    <x v="13"/>
    <x v="0"/>
    <x v="16"/>
    <s v="Manager"/>
    <n v="151040"/>
    <x v="664"/>
    <s v="MBA"/>
    <x v="2"/>
    <s v="Divorced"/>
    <n v="14"/>
    <n v="1"/>
    <n v="5"/>
    <s v="Excellent"/>
    <s v="Yes"/>
    <n v="234"/>
    <n v="30"/>
    <n v="27"/>
    <s v="No"/>
    <s v="Yes"/>
    <x v="1"/>
    <x v="1"/>
    <n v="2020"/>
    <s v="Dec"/>
    <s v="21-25"/>
    <s v="130K+"/>
  </r>
  <r>
    <s v="E0753"/>
    <x v="1"/>
    <x v="12"/>
    <x v="1"/>
    <x v="14"/>
    <s v="Manager"/>
    <n v="90255"/>
    <x v="410"/>
    <s v="Bachelor's"/>
    <x v="2"/>
    <s v="Married"/>
    <n v="18"/>
    <n v="5"/>
    <n v="4"/>
    <s v="Low"/>
    <s v="No"/>
    <n v="239"/>
    <n v="52"/>
    <n v="16"/>
    <s v="No"/>
    <s v="No"/>
    <x v="1"/>
    <x v="1"/>
    <n v="2019"/>
    <s v="Jun"/>
    <s v="21-25"/>
    <s v="90K-130K"/>
  </r>
  <r>
    <s v="E0754"/>
    <x v="1"/>
    <x v="20"/>
    <x v="3"/>
    <x v="21"/>
    <s v="Senior"/>
    <n v="106898"/>
    <x v="625"/>
    <s v="MBA"/>
    <x v="3"/>
    <s v="Divorced"/>
    <n v="10"/>
    <n v="2"/>
    <n v="5"/>
    <s v="Excellent"/>
    <s v="No"/>
    <n v="197"/>
    <n v="74"/>
    <n v="15"/>
    <s v="No"/>
    <s v="No"/>
    <x v="1"/>
    <x v="2"/>
    <n v="2023"/>
    <s v="Jul"/>
    <s v="36-40"/>
    <s v="90K-130K"/>
  </r>
  <r>
    <s v="E0755"/>
    <x v="0"/>
    <x v="12"/>
    <x v="5"/>
    <x v="13"/>
    <s v="Senior"/>
    <n v="88505"/>
    <x v="665"/>
    <s v="Diploma"/>
    <x v="3"/>
    <s v="Divorced"/>
    <n v="12"/>
    <n v="5"/>
    <n v="2"/>
    <s v="Average"/>
    <s v="Yes"/>
    <n v="193"/>
    <n v="31"/>
    <n v="28"/>
    <s v="No"/>
    <s v="No"/>
    <x v="1"/>
    <x v="2"/>
    <n v="2024"/>
    <s v="Jan"/>
    <s v="21-25"/>
    <s v="60K-90K"/>
  </r>
  <r>
    <s v="E0756"/>
    <x v="0"/>
    <x v="32"/>
    <x v="4"/>
    <x v="27"/>
    <s v="Junior"/>
    <n v="31401"/>
    <x v="666"/>
    <s v="MBA"/>
    <x v="4"/>
    <s v="Divorced"/>
    <n v="0"/>
    <n v="5"/>
    <n v="2"/>
    <s v="Excellent"/>
    <s v="No"/>
    <n v="179"/>
    <n v="71"/>
    <n v="23"/>
    <s v="No"/>
    <s v="No"/>
    <x v="1"/>
    <x v="1"/>
    <n v="2021"/>
    <s v="Nov"/>
    <s v="41-50"/>
    <s v="&lt;40K"/>
  </r>
  <r>
    <s v="E0757"/>
    <x v="1"/>
    <x v="0"/>
    <x v="4"/>
    <x v="27"/>
    <s v="Mid-Level"/>
    <n v="62986"/>
    <x v="667"/>
    <s v="Bachelor's"/>
    <x v="2"/>
    <s v="Single"/>
    <n v="7"/>
    <n v="2"/>
    <n v="2"/>
    <s v="Excellent"/>
    <s v="No"/>
    <n v="150"/>
    <n v="43"/>
    <n v="28"/>
    <s v="Yes"/>
    <s v="Yes"/>
    <x v="1"/>
    <x v="1"/>
    <n v="2024"/>
    <s v="Feb"/>
    <s v="31-35"/>
    <s v="60K-90K"/>
  </r>
  <r>
    <s v="E0758"/>
    <x v="0"/>
    <x v="8"/>
    <x v="0"/>
    <x v="10"/>
    <s v="Junior"/>
    <n v="37692"/>
    <x v="668"/>
    <s v="PhD"/>
    <x v="4"/>
    <s v="Divorced"/>
    <n v="0"/>
    <n v="2"/>
    <n v="1"/>
    <s v="Excellent"/>
    <s v="Yes"/>
    <n v="182"/>
    <n v="6"/>
    <n v="24"/>
    <s v="No"/>
    <s v="No"/>
    <x v="1"/>
    <x v="1"/>
    <n v="2021"/>
    <s v="Apr"/>
    <s v="31-35"/>
    <s v="&lt;40K"/>
  </r>
  <r>
    <s v="E0759"/>
    <x v="1"/>
    <x v="12"/>
    <x v="4"/>
    <x v="5"/>
    <s v="Mid-Level"/>
    <n v="51954"/>
    <x v="669"/>
    <s v="Bachelor's"/>
    <x v="6"/>
    <s v="Married"/>
    <n v="5"/>
    <n v="5"/>
    <n v="4"/>
    <s v="Good"/>
    <s v="No"/>
    <n v="228"/>
    <n v="8"/>
    <n v="10"/>
    <s v="No"/>
    <s v="Yes"/>
    <x v="1"/>
    <x v="2"/>
    <n v="2025"/>
    <s v="Dec"/>
    <s v="21-25"/>
    <s v="40K-60K"/>
  </r>
  <r>
    <s v="E0760"/>
    <x v="1"/>
    <x v="2"/>
    <x v="2"/>
    <x v="2"/>
    <s v="Senior"/>
    <n v="109882"/>
    <x v="670"/>
    <s v="Diploma"/>
    <x v="1"/>
    <s v="Single"/>
    <n v="12"/>
    <n v="4"/>
    <n v="1"/>
    <s v="Average"/>
    <s v="No"/>
    <n v="247"/>
    <n v="17"/>
    <n v="16"/>
    <s v="No"/>
    <s v="Yes"/>
    <x v="1"/>
    <x v="1"/>
    <n v="2019"/>
    <s v="Apr"/>
    <s v="36-40"/>
    <s v="90K-130K"/>
  </r>
  <r>
    <s v="E0761"/>
    <x v="0"/>
    <x v="16"/>
    <x v="7"/>
    <x v="29"/>
    <s v="Senior"/>
    <n v="85303"/>
    <x v="671"/>
    <s v="Diploma"/>
    <x v="5"/>
    <s v="Divorced"/>
    <n v="13"/>
    <n v="2"/>
    <n v="5"/>
    <s v="Excellent"/>
    <s v="No"/>
    <n v="162"/>
    <n v="13"/>
    <n v="18"/>
    <s v="Yes"/>
    <s v="Yes"/>
    <x v="1"/>
    <x v="2"/>
    <n v="2024"/>
    <s v="Jan"/>
    <s v="26-30"/>
    <s v="60K-90K"/>
  </r>
  <r>
    <s v="E0762"/>
    <x v="1"/>
    <x v="14"/>
    <x v="4"/>
    <x v="27"/>
    <s v="Senior"/>
    <n v="103381"/>
    <x v="239"/>
    <s v="Diploma"/>
    <x v="4"/>
    <s v="Married"/>
    <n v="6"/>
    <n v="4"/>
    <n v="2"/>
    <s v="Low"/>
    <s v="No"/>
    <n v="187"/>
    <n v="24"/>
    <n v="28"/>
    <s v="Yes"/>
    <s v="No"/>
    <x v="0"/>
    <x v="0"/>
    <n v="2024"/>
    <s v="Oct"/>
    <s v="31-35"/>
    <s v="90K-130K"/>
  </r>
  <r>
    <s v="E0763"/>
    <x v="0"/>
    <x v="24"/>
    <x v="7"/>
    <x v="17"/>
    <s v="Mid-Level"/>
    <n v="42186"/>
    <x v="411"/>
    <s v="Diploma"/>
    <x v="6"/>
    <s v="Single"/>
    <n v="5"/>
    <n v="2"/>
    <n v="4"/>
    <s v="Excellent"/>
    <s v="Yes"/>
    <n v="188"/>
    <n v="19"/>
    <n v="5"/>
    <s v="Yes"/>
    <s v="No"/>
    <x v="0"/>
    <x v="0"/>
    <n v="2026"/>
    <s v="May"/>
    <s v="41-50"/>
    <s v="40K-60K"/>
  </r>
  <r>
    <s v="E0764"/>
    <x v="0"/>
    <x v="1"/>
    <x v="6"/>
    <x v="7"/>
    <s v="Manager"/>
    <n v="155030"/>
    <x v="672"/>
    <s v="Bachelor's"/>
    <x v="2"/>
    <s v="Married"/>
    <n v="13"/>
    <n v="1"/>
    <n v="5"/>
    <s v="Excellent"/>
    <s v="No"/>
    <n v="197"/>
    <n v="13"/>
    <n v="4"/>
    <s v="Yes"/>
    <s v="Yes"/>
    <x v="1"/>
    <x v="1"/>
    <n v="2023"/>
    <s v="Oct"/>
    <s v="31-35"/>
    <s v="130K+"/>
  </r>
  <r>
    <s v="E0765"/>
    <x v="1"/>
    <x v="26"/>
    <x v="7"/>
    <x v="17"/>
    <s v="Mid-Level"/>
    <n v="46506"/>
    <x v="464"/>
    <s v="Diploma"/>
    <x v="4"/>
    <s v="Divorced"/>
    <n v="2"/>
    <n v="2"/>
    <n v="1"/>
    <s v="Good"/>
    <s v="No"/>
    <n v="173"/>
    <n v="66"/>
    <n v="4"/>
    <s v="No"/>
    <s v="No"/>
    <x v="1"/>
    <x v="1"/>
    <n v="2019"/>
    <s v="Apr"/>
    <s v="36-40"/>
    <s v="40K-60K"/>
  </r>
  <r>
    <s v="E0766"/>
    <x v="1"/>
    <x v="16"/>
    <x v="2"/>
    <x v="23"/>
    <s v="Mid-Level"/>
    <n v="48633"/>
    <x v="673"/>
    <s v="Bachelor's"/>
    <x v="1"/>
    <s v="Divorced"/>
    <n v="3"/>
    <n v="2"/>
    <n v="4"/>
    <s v="Good"/>
    <s v="Yes"/>
    <n v="197"/>
    <n v="79"/>
    <n v="18"/>
    <s v="Yes"/>
    <s v="Yes"/>
    <x v="1"/>
    <x v="1"/>
    <n v="2022"/>
    <s v="May"/>
    <s v="26-30"/>
    <s v="40K-60K"/>
  </r>
  <r>
    <s v="E0767"/>
    <x v="0"/>
    <x v="1"/>
    <x v="3"/>
    <x v="21"/>
    <s v="Manager"/>
    <n v="117991"/>
    <x v="674"/>
    <s v="Diploma"/>
    <x v="1"/>
    <s v="Single"/>
    <n v="11"/>
    <n v="4"/>
    <n v="4"/>
    <s v="Average"/>
    <s v="No"/>
    <n v="177"/>
    <n v="70"/>
    <n v="6"/>
    <s v="Yes"/>
    <s v="Yes"/>
    <x v="1"/>
    <x v="2"/>
    <n v="2026"/>
    <s v="Jun"/>
    <s v="31-35"/>
    <s v="90K-130K"/>
  </r>
  <r>
    <s v="E0768"/>
    <x v="0"/>
    <x v="18"/>
    <x v="6"/>
    <x v="26"/>
    <s v="Manager"/>
    <n v="137411"/>
    <x v="675"/>
    <s v="Bachelor's"/>
    <x v="0"/>
    <s v="Divorced"/>
    <n v="11"/>
    <n v="4"/>
    <n v="1"/>
    <s v="Good"/>
    <s v="No"/>
    <n v="155"/>
    <n v="55"/>
    <n v="16"/>
    <s v="No"/>
    <s v="No"/>
    <x v="1"/>
    <x v="1"/>
    <n v="2021"/>
    <s v="Dec"/>
    <s v="41-50"/>
    <s v="130K+"/>
  </r>
  <r>
    <s v="E0769"/>
    <x v="0"/>
    <x v="16"/>
    <x v="7"/>
    <x v="17"/>
    <s v="Mid-Level"/>
    <n v="49908"/>
    <x v="676"/>
    <s v="Diploma"/>
    <x v="1"/>
    <s v="Divorced"/>
    <n v="6"/>
    <n v="3"/>
    <n v="4"/>
    <s v="Average"/>
    <s v="Yes"/>
    <n v="205"/>
    <n v="10"/>
    <n v="13"/>
    <s v="No"/>
    <s v="Yes"/>
    <x v="1"/>
    <x v="2"/>
    <n v="2024"/>
    <s v="Nov"/>
    <s v="26-30"/>
    <s v="40K-60K"/>
  </r>
  <r>
    <s v="E0770"/>
    <x v="1"/>
    <x v="18"/>
    <x v="7"/>
    <x v="20"/>
    <s v="Senior"/>
    <n v="100080"/>
    <x v="677"/>
    <s v="Diploma"/>
    <x v="3"/>
    <s v="Married"/>
    <n v="14"/>
    <n v="3"/>
    <n v="4"/>
    <s v="Good"/>
    <s v="No"/>
    <n v="212"/>
    <n v="16"/>
    <n v="24"/>
    <s v="No"/>
    <s v="No"/>
    <x v="1"/>
    <x v="1"/>
    <n v="2022"/>
    <s v="Sep"/>
    <s v="41-50"/>
    <s v="90K-130K"/>
  </r>
  <r>
    <s v="E0771"/>
    <x v="0"/>
    <x v="2"/>
    <x v="5"/>
    <x v="6"/>
    <s v="Senior"/>
    <n v="83936"/>
    <x v="600"/>
    <s v="MBA"/>
    <x v="0"/>
    <s v="Married"/>
    <n v="14"/>
    <n v="2"/>
    <n v="3"/>
    <s v="Excellent"/>
    <s v="No"/>
    <n v="180"/>
    <n v="40"/>
    <n v="10"/>
    <s v="No"/>
    <s v="No"/>
    <x v="1"/>
    <x v="2"/>
    <n v="2024"/>
    <s v="Oct"/>
    <s v="36-40"/>
    <s v="60K-90K"/>
  </r>
  <r>
    <s v="E0772"/>
    <x v="0"/>
    <x v="7"/>
    <x v="6"/>
    <x v="22"/>
    <s v="Mid-Level"/>
    <n v="64515"/>
    <x v="87"/>
    <s v="Master's"/>
    <x v="1"/>
    <s v="Divorced"/>
    <n v="7"/>
    <n v="5"/>
    <n v="5"/>
    <s v="Good"/>
    <s v="No"/>
    <n v="176"/>
    <n v="36"/>
    <n v="8"/>
    <s v="No"/>
    <s v="No"/>
    <x v="1"/>
    <x v="1"/>
    <n v="2023"/>
    <s v="Jan"/>
    <s v="26-30"/>
    <s v="60K-90K"/>
  </r>
  <r>
    <s v="E0773"/>
    <x v="0"/>
    <x v="2"/>
    <x v="7"/>
    <x v="20"/>
    <s v="Mid-Level"/>
    <n v="54832"/>
    <x v="678"/>
    <s v="Bachelor's"/>
    <x v="2"/>
    <s v="Single"/>
    <n v="5"/>
    <n v="5"/>
    <n v="4"/>
    <s v="Excellent"/>
    <s v="No"/>
    <n v="193"/>
    <n v="75"/>
    <n v="14"/>
    <s v="Yes"/>
    <s v="No"/>
    <x v="1"/>
    <x v="1"/>
    <n v="2022"/>
    <s v="Jan"/>
    <s v="36-40"/>
    <s v="40K-60K"/>
  </r>
  <r>
    <s v="E0774"/>
    <x v="0"/>
    <x v="21"/>
    <x v="5"/>
    <x v="25"/>
    <s v="Manager"/>
    <n v="126318"/>
    <x v="679"/>
    <s v="PhD"/>
    <x v="1"/>
    <s v="Married"/>
    <n v="16"/>
    <n v="4"/>
    <n v="2"/>
    <s v="Excellent"/>
    <s v="No"/>
    <n v="156"/>
    <n v="54"/>
    <n v="12"/>
    <s v="Yes"/>
    <s v="No"/>
    <x v="1"/>
    <x v="1"/>
    <n v="2025"/>
    <s v="May"/>
    <s v="36-40"/>
    <s v="90K-130K"/>
  </r>
  <r>
    <s v="E0775"/>
    <x v="0"/>
    <x v="2"/>
    <x v="2"/>
    <x v="30"/>
    <s v="Junior"/>
    <n v="29344"/>
    <x v="680"/>
    <s v="PhD"/>
    <x v="0"/>
    <s v="Single"/>
    <n v="0"/>
    <n v="1"/>
    <n v="5"/>
    <s v="Low"/>
    <s v="No"/>
    <n v="184"/>
    <n v="6"/>
    <n v="5"/>
    <s v="No"/>
    <s v="No"/>
    <x v="1"/>
    <x v="1"/>
    <n v="2022"/>
    <s v="Feb"/>
    <s v="36-40"/>
    <s v="&lt;40K"/>
  </r>
  <r>
    <s v="E0776"/>
    <x v="1"/>
    <x v="9"/>
    <x v="4"/>
    <x v="19"/>
    <s v="Mid-Level"/>
    <n v="49223"/>
    <x v="681"/>
    <s v="Diploma"/>
    <x v="4"/>
    <s v="Single"/>
    <n v="6"/>
    <n v="5"/>
    <n v="3"/>
    <s v="Average"/>
    <s v="No"/>
    <n v="195"/>
    <n v="54"/>
    <n v="8"/>
    <s v="No"/>
    <s v="No"/>
    <x v="1"/>
    <x v="1"/>
    <n v="2025"/>
    <s v="Oct"/>
    <s v="21-25"/>
    <s v="40K-60K"/>
  </r>
  <r>
    <s v="E0777"/>
    <x v="0"/>
    <x v="19"/>
    <x v="2"/>
    <x v="30"/>
    <s v="Manager"/>
    <n v="106326"/>
    <x v="211"/>
    <s v="Master's"/>
    <x v="2"/>
    <s v="Single"/>
    <n v="9"/>
    <n v="4"/>
    <n v="2"/>
    <s v="Low"/>
    <s v="Yes"/>
    <n v="208"/>
    <n v="35"/>
    <n v="23"/>
    <s v="No"/>
    <s v="No"/>
    <x v="1"/>
    <x v="2"/>
    <n v="2021"/>
    <s v="Oct"/>
    <s v="26-30"/>
    <s v="90K-130K"/>
  </r>
  <r>
    <s v="E0778"/>
    <x v="1"/>
    <x v="4"/>
    <x v="7"/>
    <x v="8"/>
    <s v="Mid-Level"/>
    <n v="45288"/>
    <x v="682"/>
    <s v="PhD"/>
    <x v="5"/>
    <s v="Divorced"/>
    <n v="2"/>
    <n v="4"/>
    <n v="4"/>
    <s v="Good"/>
    <s v="Yes"/>
    <n v="244"/>
    <n v="31"/>
    <n v="30"/>
    <s v="No"/>
    <s v="No"/>
    <x v="1"/>
    <x v="2"/>
    <n v="2023"/>
    <s v="Aug"/>
    <s v="26-30"/>
    <s v="40K-60K"/>
  </r>
  <r>
    <s v="E0779"/>
    <x v="1"/>
    <x v="1"/>
    <x v="3"/>
    <x v="3"/>
    <s v="Junior"/>
    <n v="44352"/>
    <x v="683"/>
    <s v="PhD"/>
    <x v="3"/>
    <s v="Married"/>
    <n v="3"/>
    <n v="5"/>
    <n v="2"/>
    <s v="Average"/>
    <s v="No"/>
    <n v="168"/>
    <n v="32"/>
    <n v="12"/>
    <s v="No"/>
    <s v="Yes"/>
    <x v="1"/>
    <x v="2"/>
    <n v="2023"/>
    <s v="Dec"/>
    <s v="31-35"/>
    <s v="40K-60K"/>
  </r>
  <r>
    <s v="E0780"/>
    <x v="1"/>
    <x v="2"/>
    <x v="1"/>
    <x v="11"/>
    <s v="Mid-Level"/>
    <n v="54433"/>
    <x v="684"/>
    <s v="Bachelor's"/>
    <x v="7"/>
    <s v="Divorced"/>
    <n v="6"/>
    <n v="1"/>
    <n v="5"/>
    <s v="Good"/>
    <s v="Yes"/>
    <n v="232"/>
    <n v="51"/>
    <n v="14"/>
    <s v="Yes"/>
    <s v="Yes"/>
    <x v="1"/>
    <x v="2"/>
    <n v="2024"/>
    <s v="Apr"/>
    <s v="36-40"/>
    <s v="40K-60K"/>
  </r>
  <r>
    <s v="E0781"/>
    <x v="1"/>
    <x v="8"/>
    <x v="7"/>
    <x v="17"/>
    <s v="Junior"/>
    <n v="42331"/>
    <x v="685"/>
    <s v="Master's"/>
    <x v="0"/>
    <s v="Single"/>
    <n v="2"/>
    <n v="2"/>
    <n v="3"/>
    <s v="Excellent"/>
    <s v="No"/>
    <n v="183"/>
    <n v="51"/>
    <n v="3"/>
    <s v="Yes"/>
    <s v="No"/>
    <x v="1"/>
    <x v="1"/>
    <n v="2022"/>
    <s v="Nov"/>
    <s v="31-35"/>
    <s v="40K-60K"/>
  </r>
  <r>
    <s v="E0782"/>
    <x v="0"/>
    <x v="13"/>
    <x v="2"/>
    <x v="23"/>
    <s v="Senior"/>
    <n v="70194"/>
    <x v="686"/>
    <s v="Master's"/>
    <x v="0"/>
    <s v="Married"/>
    <n v="13"/>
    <n v="4"/>
    <n v="2"/>
    <s v="Good"/>
    <s v="No"/>
    <n v="168"/>
    <n v="26"/>
    <n v="18"/>
    <s v="Yes"/>
    <s v="No"/>
    <x v="1"/>
    <x v="1"/>
    <n v="2021"/>
    <s v="Nov"/>
    <s v="21-25"/>
    <s v="60K-90K"/>
  </r>
  <r>
    <s v="E0783"/>
    <x v="0"/>
    <x v="11"/>
    <x v="0"/>
    <x v="9"/>
    <s v="Senior"/>
    <n v="100909"/>
    <x v="8"/>
    <s v="Bachelor's"/>
    <x v="1"/>
    <s v="Single"/>
    <n v="12"/>
    <n v="2"/>
    <n v="2"/>
    <s v="Good"/>
    <s v="Yes"/>
    <n v="253"/>
    <n v="27"/>
    <n v="19"/>
    <s v="Yes"/>
    <s v="No"/>
    <x v="1"/>
    <x v="2"/>
    <n v="2023"/>
    <s v="Sep"/>
    <s v="31-35"/>
    <s v="90K-130K"/>
  </r>
  <r>
    <s v="E0784"/>
    <x v="1"/>
    <x v="2"/>
    <x v="6"/>
    <x v="26"/>
    <s v="Mid-Level"/>
    <n v="50049"/>
    <x v="687"/>
    <s v="Bachelor's"/>
    <x v="7"/>
    <s v="Single"/>
    <n v="2"/>
    <n v="2"/>
    <n v="3"/>
    <s v="Average"/>
    <s v="No"/>
    <n v="254"/>
    <n v="11"/>
    <n v="17"/>
    <s v="Yes"/>
    <s v="Yes"/>
    <x v="1"/>
    <x v="1"/>
    <n v="2022"/>
    <s v="Aug"/>
    <s v="36-40"/>
    <s v="40K-60K"/>
  </r>
  <r>
    <s v="E0785"/>
    <x v="0"/>
    <x v="0"/>
    <x v="3"/>
    <x v="3"/>
    <s v="Manager"/>
    <n v="122216"/>
    <x v="688"/>
    <s v="PhD"/>
    <x v="3"/>
    <s v="Single"/>
    <n v="15"/>
    <n v="1"/>
    <n v="2"/>
    <s v="Good"/>
    <s v="Yes"/>
    <n v="231"/>
    <n v="63"/>
    <n v="18"/>
    <s v="No"/>
    <s v="Yes"/>
    <x v="0"/>
    <x v="0"/>
    <n v="2020"/>
    <s v="Dec"/>
    <s v="31-35"/>
    <s v="90K-130K"/>
  </r>
  <r>
    <s v="E0786"/>
    <x v="1"/>
    <x v="20"/>
    <x v="4"/>
    <x v="18"/>
    <s v="Senior"/>
    <n v="104683"/>
    <x v="67"/>
    <s v="Bachelor's"/>
    <x v="0"/>
    <s v="Single"/>
    <n v="14"/>
    <n v="3"/>
    <n v="5"/>
    <s v="Good"/>
    <s v="No"/>
    <n v="171"/>
    <n v="43"/>
    <n v="5"/>
    <s v="No"/>
    <s v="No"/>
    <x v="1"/>
    <x v="2"/>
    <n v="2023"/>
    <s v="Jul"/>
    <s v="36-40"/>
    <s v="90K-130K"/>
  </r>
  <r>
    <s v="E0787"/>
    <x v="1"/>
    <x v="6"/>
    <x v="4"/>
    <x v="5"/>
    <s v="Senior"/>
    <n v="66564"/>
    <x v="689"/>
    <s v="Diploma"/>
    <x v="3"/>
    <s v="Divorced"/>
    <n v="10"/>
    <n v="2"/>
    <n v="1"/>
    <s v="Good"/>
    <s v="Yes"/>
    <n v="205"/>
    <n v="55"/>
    <n v="9"/>
    <s v="Yes"/>
    <s v="No"/>
    <x v="1"/>
    <x v="1"/>
    <n v="2024"/>
    <s v="Jun"/>
    <s v="36-40"/>
    <s v="60K-90K"/>
  </r>
  <r>
    <s v="E0788"/>
    <x v="0"/>
    <x v="0"/>
    <x v="7"/>
    <x v="20"/>
    <s v="Manager"/>
    <n v="142329"/>
    <x v="690"/>
    <s v="Master's"/>
    <x v="3"/>
    <s v="Divorced"/>
    <n v="15"/>
    <n v="3"/>
    <n v="2"/>
    <s v="Low"/>
    <s v="No"/>
    <n v="166"/>
    <n v="42"/>
    <n v="13"/>
    <s v="Yes"/>
    <s v="No"/>
    <x v="1"/>
    <x v="1"/>
    <n v="2024"/>
    <s v="Mar"/>
    <s v="31-35"/>
    <s v="130K+"/>
  </r>
  <r>
    <s v="E0789"/>
    <x v="1"/>
    <x v="1"/>
    <x v="4"/>
    <x v="18"/>
    <s v="Junior"/>
    <n v="37632"/>
    <x v="691"/>
    <s v="MBA"/>
    <x v="0"/>
    <s v="Married"/>
    <n v="2"/>
    <n v="5"/>
    <n v="4"/>
    <s v="Average"/>
    <s v="Yes"/>
    <n v="258"/>
    <n v="6"/>
    <n v="5"/>
    <s v="Yes"/>
    <s v="No"/>
    <x v="0"/>
    <x v="0"/>
    <n v="2024"/>
    <s v="Sep"/>
    <s v="31-35"/>
    <s v="&lt;40K"/>
  </r>
  <r>
    <s v="E0790"/>
    <x v="1"/>
    <x v="9"/>
    <x v="0"/>
    <x v="10"/>
    <s v="Mid-Level"/>
    <n v="62665"/>
    <x v="692"/>
    <s v="MBA"/>
    <x v="2"/>
    <s v="Married"/>
    <n v="6"/>
    <n v="1"/>
    <n v="4"/>
    <s v="Low"/>
    <s v="No"/>
    <n v="192"/>
    <n v="71"/>
    <n v="20"/>
    <s v="Yes"/>
    <s v="No"/>
    <x v="1"/>
    <x v="2"/>
    <n v="2023"/>
    <s v="Mar"/>
    <s v="21-25"/>
    <s v="60K-90K"/>
  </r>
  <r>
    <s v="E0791"/>
    <x v="1"/>
    <x v="0"/>
    <x v="4"/>
    <x v="27"/>
    <s v="Junior"/>
    <n v="33024"/>
    <x v="693"/>
    <s v="PhD"/>
    <x v="2"/>
    <s v="Married"/>
    <n v="3"/>
    <n v="4"/>
    <n v="3"/>
    <s v="Average"/>
    <s v="Yes"/>
    <n v="168"/>
    <n v="10"/>
    <n v="3"/>
    <s v="No"/>
    <s v="No"/>
    <x v="0"/>
    <x v="0"/>
    <n v="2022"/>
    <s v="Sep"/>
    <s v="31-35"/>
    <s v="&lt;40K"/>
  </r>
  <r>
    <s v="E0792"/>
    <x v="0"/>
    <x v="8"/>
    <x v="6"/>
    <x v="26"/>
    <s v="Manager"/>
    <n v="115383"/>
    <x v="694"/>
    <s v="Bachelor's"/>
    <x v="3"/>
    <s v="Single"/>
    <n v="14"/>
    <n v="4"/>
    <n v="5"/>
    <s v="Good"/>
    <s v="No"/>
    <n v="182"/>
    <n v="66"/>
    <n v="27"/>
    <s v="Yes"/>
    <s v="No"/>
    <x v="0"/>
    <x v="0"/>
    <n v="2020"/>
    <s v="Sep"/>
    <s v="31-35"/>
    <s v="90K-130K"/>
  </r>
  <r>
    <s v="E0793"/>
    <x v="0"/>
    <x v="8"/>
    <x v="7"/>
    <x v="8"/>
    <s v="Manager"/>
    <n v="104973"/>
    <x v="695"/>
    <s v="MBA"/>
    <x v="4"/>
    <s v="Divorced"/>
    <n v="9"/>
    <n v="4"/>
    <n v="3"/>
    <s v="Good"/>
    <s v="No"/>
    <n v="243"/>
    <n v="72"/>
    <n v="6"/>
    <s v="No"/>
    <s v="No"/>
    <x v="1"/>
    <x v="1"/>
    <n v="2026"/>
    <s v="Jul"/>
    <s v="31-35"/>
    <s v="90K-130K"/>
  </r>
  <r>
    <s v="E0794"/>
    <x v="0"/>
    <x v="15"/>
    <x v="1"/>
    <x v="31"/>
    <s v="Manager"/>
    <n v="153359"/>
    <x v="696"/>
    <s v="Diploma"/>
    <x v="2"/>
    <s v="Married"/>
    <n v="12"/>
    <n v="5"/>
    <n v="3"/>
    <s v="Low"/>
    <s v="No"/>
    <n v="242"/>
    <n v="23"/>
    <n v="19"/>
    <s v="Yes"/>
    <s v="No"/>
    <x v="0"/>
    <x v="0"/>
    <n v="2022"/>
    <s v="Sep"/>
    <s v="21-25"/>
    <s v="130K+"/>
  </r>
  <r>
    <s v="E0795"/>
    <x v="0"/>
    <x v="10"/>
    <x v="1"/>
    <x v="1"/>
    <s v="Mid-Level"/>
    <n v="45230"/>
    <x v="697"/>
    <s v="MBA"/>
    <x v="2"/>
    <s v="Single"/>
    <n v="7"/>
    <n v="5"/>
    <n v="3"/>
    <s v="Average"/>
    <s v="No"/>
    <n v="245"/>
    <n v="25"/>
    <n v="21"/>
    <s v="No"/>
    <s v="No"/>
    <x v="1"/>
    <x v="1"/>
    <n v="2025"/>
    <s v="Jan"/>
    <s v="21-25"/>
    <s v="40K-60K"/>
  </r>
  <r>
    <s v="E0796"/>
    <x v="1"/>
    <x v="20"/>
    <x v="0"/>
    <x v="16"/>
    <s v="Manager"/>
    <n v="146645"/>
    <x v="698"/>
    <s v="PhD"/>
    <x v="6"/>
    <s v="Married"/>
    <n v="10"/>
    <n v="4"/>
    <n v="1"/>
    <s v="Average"/>
    <s v="No"/>
    <n v="197"/>
    <n v="56"/>
    <n v="15"/>
    <s v="Yes"/>
    <s v="Yes"/>
    <x v="1"/>
    <x v="1"/>
    <n v="2023"/>
    <s v="Aug"/>
    <s v="36-40"/>
    <s v="130K+"/>
  </r>
  <r>
    <s v="E0797"/>
    <x v="0"/>
    <x v="1"/>
    <x v="6"/>
    <x v="22"/>
    <s v="Mid-Level"/>
    <n v="61594"/>
    <x v="699"/>
    <s v="Bachelor's"/>
    <x v="3"/>
    <s v="Divorced"/>
    <n v="4"/>
    <n v="4"/>
    <n v="1"/>
    <s v="Excellent"/>
    <s v="Yes"/>
    <n v="160"/>
    <n v="68"/>
    <n v="30"/>
    <s v="Yes"/>
    <s v="Yes"/>
    <x v="1"/>
    <x v="1"/>
    <n v="2025"/>
    <s v="Aug"/>
    <s v="31-35"/>
    <s v="60K-90K"/>
  </r>
  <r>
    <s v="E0798"/>
    <x v="0"/>
    <x v="2"/>
    <x v="0"/>
    <x v="16"/>
    <s v="Mid-Level"/>
    <n v="43071"/>
    <x v="700"/>
    <s v="MBA"/>
    <x v="4"/>
    <s v="Single"/>
    <n v="3"/>
    <n v="3"/>
    <n v="3"/>
    <s v="Low"/>
    <s v="No"/>
    <n v="223"/>
    <n v="79"/>
    <n v="4"/>
    <s v="Yes"/>
    <s v="Yes"/>
    <x v="0"/>
    <x v="0"/>
    <n v="2022"/>
    <s v="Apr"/>
    <s v="36-40"/>
    <s v="40K-60K"/>
  </r>
  <r>
    <s v="E0799"/>
    <x v="0"/>
    <x v="14"/>
    <x v="1"/>
    <x v="14"/>
    <s v="Manager"/>
    <n v="154272"/>
    <x v="701"/>
    <s v="MBA"/>
    <x v="3"/>
    <s v="Single"/>
    <n v="9"/>
    <n v="5"/>
    <n v="3"/>
    <s v="Excellent"/>
    <s v="No"/>
    <n v="257"/>
    <n v="38"/>
    <n v="7"/>
    <s v="No"/>
    <s v="Yes"/>
    <x v="1"/>
    <x v="1"/>
    <n v="2021"/>
    <s v="Dec"/>
    <s v="31-35"/>
    <s v="130K+"/>
  </r>
  <r>
    <s v="E0800"/>
    <x v="1"/>
    <x v="14"/>
    <x v="1"/>
    <x v="11"/>
    <s v="Junior"/>
    <n v="40890"/>
    <x v="702"/>
    <s v="PhD"/>
    <x v="7"/>
    <s v="Single"/>
    <n v="2"/>
    <n v="2"/>
    <n v="4"/>
    <s v="Good"/>
    <s v="No"/>
    <n v="195"/>
    <n v="46"/>
    <n v="8"/>
    <s v="Yes"/>
    <s v="No"/>
    <x v="1"/>
    <x v="2"/>
    <n v="2026"/>
    <s v="Jun"/>
    <s v="31-35"/>
    <s v="40K-60K"/>
  </r>
  <r>
    <s v="E0801"/>
    <x v="0"/>
    <x v="21"/>
    <x v="6"/>
    <x v="7"/>
    <s v="Junior"/>
    <n v="29925"/>
    <x v="24"/>
    <s v="MBA"/>
    <x v="4"/>
    <s v="Divorced"/>
    <n v="0"/>
    <n v="1"/>
    <n v="4"/>
    <s v="Average"/>
    <s v="Yes"/>
    <n v="169"/>
    <n v="66"/>
    <n v="15"/>
    <s v="No"/>
    <s v="Yes"/>
    <x v="1"/>
    <x v="1"/>
    <n v="2020"/>
    <s v="Aug"/>
    <s v="36-40"/>
    <s v="&lt;40K"/>
  </r>
  <r>
    <s v="E0802"/>
    <x v="1"/>
    <x v="7"/>
    <x v="1"/>
    <x v="1"/>
    <s v="Junior"/>
    <n v="39934"/>
    <x v="703"/>
    <s v="MBA"/>
    <x v="7"/>
    <s v="Single"/>
    <n v="1"/>
    <n v="2"/>
    <n v="3"/>
    <s v="Excellent"/>
    <s v="Yes"/>
    <n v="156"/>
    <n v="64"/>
    <n v="23"/>
    <s v="No"/>
    <s v="Yes"/>
    <x v="1"/>
    <x v="1"/>
    <n v="2023"/>
    <s v="May"/>
    <s v="26-30"/>
    <s v="&lt;40K"/>
  </r>
  <r>
    <s v="E0803"/>
    <x v="1"/>
    <x v="14"/>
    <x v="6"/>
    <x v="22"/>
    <s v="Manager"/>
    <n v="131259"/>
    <x v="704"/>
    <s v="MBA"/>
    <x v="3"/>
    <s v="Single"/>
    <n v="20"/>
    <n v="2"/>
    <n v="1"/>
    <s v="Average"/>
    <s v="Yes"/>
    <n v="182"/>
    <n v="35"/>
    <n v="18"/>
    <s v="No"/>
    <s v="No"/>
    <x v="0"/>
    <x v="0"/>
    <n v="2025"/>
    <s v="May"/>
    <s v="31-35"/>
    <s v="130K+"/>
  </r>
  <r>
    <s v="E0804"/>
    <x v="1"/>
    <x v="7"/>
    <x v="5"/>
    <x v="13"/>
    <s v="Mid-Level"/>
    <n v="55692"/>
    <x v="705"/>
    <s v="PhD"/>
    <x v="0"/>
    <s v="Single"/>
    <n v="2"/>
    <n v="3"/>
    <n v="3"/>
    <s v="Average"/>
    <s v="No"/>
    <n v="197"/>
    <n v="47"/>
    <n v="23"/>
    <s v="No"/>
    <s v="No"/>
    <x v="0"/>
    <x v="0"/>
    <n v="2019"/>
    <s v="Feb"/>
    <s v="26-30"/>
    <s v="40K-60K"/>
  </r>
  <r>
    <s v="E0805"/>
    <x v="1"/>
    <x v="7"/>
    <x v="4"/>
    <x v="19"/>
    <s v="Manager"/>
    <n v="95167"/>
    <x v="706"/>
    <s v="MBA"/>
    <x v="5"/>
    <s v="Married"/>
    <n v="15"/>
    <n v="5"/>
    <n v="3"/>
    <s v="Low"/>
    <s v="No"/>
    <n v="246"/>
    <n v="65"/>
    <n v="28"/>
    <s v="No"/>
    <s v="No"/>
    <x v="0"/>
    <x v="0"/>
    <n v="2025"/>
    <s v="Aug"/>
    <s v="26-30"/>
    <s v="90K-130K"/>
  </r>
  <r>
    <s v="E0806"/>
    <x v="1"/>
    <x v="17"/>
    <x v="1"/>
    <x v="11"/>
    <s v="Mid-Level"/>
    <n v="56721"/>
    <x v="650"/>
    <s v="Bachelor's"/>
    <x v="0"/>
    <s v="Single"/>
    <n v="4"/>
    <n v="1"/>
    <n v="2"/>
    <s v="Average"/>
    <s v="No"/>
    <n v="224"/>
    <n v="62"/>
    <n v="9"/>
    <s v="No"/>
    <s v="No"/>
    <x v="1"/>
    <x v="1"/>
    <n v="2022"/>
    <s v="May"/>
    <s v="26-30"/>
    <s v="40K-60K"/>
  </r>
  <r>
    <s v="E0807"/>
    <x v="1"/>
    <x v="8"/>
    <x v="0"/>
    <x v="10"/>
    <s v="Senior"/>
    <n v="100078"/>
    <x v="707"/>
    <s v="Bachelor's"/>
    <x v="6"/>
    <s v="Divorced"/>
    <n v="13"/>
    <n v="1"/>
    <n v="5"/>
    <s v="Average"/>
    <s v="No"/>
    <n v="251"/>
    <n v="73"/>
    <n v="23"/>
    <s v="No"/>
    <s v="No"/>
    <x v="1"/>
    <x v="1"/>
    <n v="2023"/>
    <s v="Sep"/>
    <s v="31-35"/>
    <s v="90K-130K"/>
  </r>
  <r>
    <s v="E0808"/>
    <x v="0"/>
    <x v="7"/>
    <x v="1"/>
    <x v="1"/>
    <s v="Senior"/>
    <n v="76615"/>
    <x v="180"/>
    <s v="Master's"/>
    <x v="6"/>
    <s v="Single"/>
    <n v="13"/>
    <n v="2"/>
    <n v="1"/>
    <s v="Low"/>
    <s v="No"/>
    <n v="204"/>
    <n v="21"/>
    <n v="25"/>
    <s v="No"/>
    <s v="Yes"/>
    <x v="1"/>
    <x v="1"/>
    <n v="2026"/>
    <s v="May"/>
    <s v="26-30"/>
    <s v="60K-90K"/>
  </r>
  <r>
    <s v="E0809"/>
    <x v="0"/>
    <x v="26"/>
    <x v="5"/>
    <x v="6"/>
    <s v="Manager"/>
    <n v="111215"/>
    <x v="708"/>
    <s v="Diploma"/>
    <x v="1"/>
    <s v="Single"/>
    <n v="14"/>
    <n v="2"/>
    <n v="3"/>
    <s v="Average"/>
    <s v="Yes"/>
    <n v="247"/>
    <n v="20"/>
    <n v="29"/>
    <s v="Yes"/>
    <s v="No"/>
    <x v="1"/>
    <x v="1"/>
    <n v="2021"/>
    <s v="Apr"/>
    <s v="36-40"/>
    <s v="90K-130K"/>
  </r>
  <r>
    <s v="E0810"/>
    <x v="0"/>
    <x v="12"/>
    <x v="5"/>
    <x v="13"/>
    <s v="Junior"/>
    <n v="42787"/>
    <x v="709"/>
    <s v="Diploma"/>
    <x v="2"/>
    <s v="Single"/>
    <n v="2"/>
    <n v="5"/>
    <n v="5"/>
    <s v="Good"/>
    <s v="No"/>
    <n v="215"/>
    <n v="16"/>
    <n v="13"/>
    <s v="Yes"/>
    <s v="Yes"/>
    <x v="1"/>
    <x v="2"/>
    <n v="2020"/>
    <s v="May"/>
    <s v="21-25"/>
    <s v="40K-60K"/>
  </r>
  <r>
    <s v="E0811"/>
    <x v="0"/>
    <x v="4"/>
    <x v="5"/>
    <x v="28"/>
    <s v="Junior"/>
    <n v="30078"/>
    <x v="585"/>
    <s v="MBA"/>
    <x v="5"/>
    <s v="Married"/>
    <n v="1"/>
    <n v="3"/>
    <n v="2"/>
    <s v="Excellent"/>
    <s v="No"/>
    <n v="254"/>
    <n v="60"/>
    <n v="5"/>
    <s v="No"/>
    <s v="No"/>
    <x v="1"/>
    <x v="2"/>
    <n v="2020"/>
    <s v="Aug"/>
    <s v="26-30"/>
    <s v="&lt;40K"/>
  </r>
  <r>
    <s v="E0812"/>
    <x v="0"/>
    <x v="7"/>
    <x v="6"/>
    <x v="26"/>
    <s v="Manager"/>
    <n v="98768"/>
    <x v="710"/>
    <s v="Master's"/>
    <x v="5"/>
    <s v="Single"/>
    <n v="19"/>
    <n v="4"/>
    <n v="5"/>
    <s v="Excellent"/>
    <s v="No"/>
    <n v="199"/>
    <n v="29"/>
    <n v="2"/>
    <s v="No"/>
    <s v="No"/>
    <x v="1"/>
    <x v="1"/>
    <n v="2021"/>
    <s v="Jul"/>
    <s v="26-30"/>
    <s v="90K-130K"/>
  </r>
  <r>
    <s v="E0813"/>
    <x v="0"/>
    <x v="3"/>
    <x v="3"/>
    <x v="3"/>
    <s v="Manager"/>
    <n v="90974"/>
    <x v="711"/>
    <s v="PhD"/>
    <x v="6"/>
    <s v="Divorced"/>
    <n v="13"/>
    <n v="1"/>
    <n v="2"/>
    <s v="Good"/>
    <s v="Yes"/>
    <n v="226"/>
    <n v="20"/>
    <n v="21"/>
    <s v="Yes"/>
    <s v="Yes"/>
    <x v="1"/>
    <x v="1"/>
    <n v="2024"/>
    <s v="Mar"/>
    <s v="41-50"/>
    <s v="90K-130K"/>
  </r>
  <r>
    <s v="E0814"/>
    <x v="0"/>
    <x v="8"/>
    <x v="5"/>
    <x v="25"/>
    <s v="Senior"/>
    <n v="67551"/>
    <x v="712"/>
    <s v="MBA"/>
    <x v="4"/>
    <s v="Married"/>
    <n v="6"/>
    <n v="3"/>
    <n v="2"/>
    <s v="Low"/>
    <s v="No"/>
    <n v="183"/>
    <n v="72"/>
    <n v="13"/>
    <s v="Yes"/>
    <s v="No"/>
    <x v="1"/>
    <x v="2"/>
    <n v="2019"/>
    <s v="Aug"/>
    <s v="31-35"/>
    <s v="60K-90K"/>
  </r>
  <r>
    <s v="E0815"/>
    <x v="1"/>
    <x v="20"/>
    <x v="5"/>
    <x v="25"/>
    <s v="Junior"/>
    <n v="28856"/>
    <x v="713"/>
    <s v="Bachelor's"/>
    <x v="2"/>
    <s v="Married"/>
    <n v="2"/>
    <n v="2"/>
    <n v="1"/>
    <s v="Good"/>
    <s v="Yes"/>
    <n v="217"/>
    <n v="20"/>
    <n v="7"/>
    <s v="No"/>
    <s v="Yes"/>
    <x v="1"/>
    <x v="1"/>
    <n v="2022"/>
    <s v="Sep"/>
    <s v="36-40"/>
    <s v="&lt;40K"/>
  </r>
  <r>
    <s v="E0816"/>
    <x v="0"/>
    <x v="9"/>
    <x v="1"/>
    <x v="31"/>
    <s v="Senior"/>
    <n v="85413"/>
    <x v="714"/>
    <s v="MBA"/>
    <x v="1"/>
    <s v="Married"/>
    <n v="13"/>
    <n v="1"/>
    <n v="5"/>
    <s v="Low"/>
    <s v="No"/>
    <n v="238"/>
    <n v="44"/>
    <n v="30"/>
    <s v="No"/>
    <s v="No"/>
    <x v="1"/>
    <x v="1"/>
    <n v="2025"/>
    <s v="Jan"/>
    <s v="21-25"/>
    <s v="60K-90K"/>
  </r>
  <r>
    <s v="E0817"/>
    <x v="1"/>
    <x v="8"/>
    <x v="5"/>
    <x v="28"/>
    <s v="Mid-Level"/>
    <n v="44252"/>
    <x v="715"/>
    <s v="PhD"/>
    <x v="1"/>
    <s v="Married"/>
    <n v="2"/>
    <n v="1"/>
    <n v="1"/>
    <s v="Average"/>
    <s v="No"/>
    <n v="155"/>
    <n v="80"/>
    <n v="19"/>
    <s v="Yes"/>
    <s v="No"/>
    <x v="1"/>
    <x v="1"/>
    <n v="2025"/>
    <s v="Aug"/>
    <s v="31-35"/>
    <s v="40K-60K"/>
  </r>
  <r>
    <s v="E0818"/>
    <x v="1"/>
    <x v="21"/>
    <x v="6"/>
    <x v="26"/>
    <s v="Junior"/>
    <n v="28551"/>
    <x v="300"/>
    <s v="Bachelor's"/>
    <x v="2"/>
    <s v="Divorced"/>
    <n v="3"/>
    <n v="2"/>
    <n v="2"/>
    <s v="Average"/>
    <s v="No"/>
    <n v="255"/>
    <n v="68"/>
    <n v="19"/>
    <s v="Yes"/>
    <s v="No"/>
    <x v="1"/>
    <x v="1"/>
    <n v="2021"/>
    <s v="Jun"/>
    <s v="36-40"/>
    <s v="&lt;40K"/>
  </r>
  <r>
    <s v="E0819"/>
    <x v="1"/>
    <x v="14"/>
    <x v="1"/>
    <x v="1"/>
    <s v="Mid-Level"/>
    <n v="69034"/>
    <x v="716"/>
    <s v="MBA"/>
    <x v="2"/>
    <s v="Single"/>
    <n v="6"/>
    <n v="3"/>
    <n v="2"/>
    <s v="Low"/>
    <s v="No"/>
    <n v="225"/>
    <n v="58"/>
    <n v="10"/>
    <s v="No"/>
    <s v="No"/>
    <x v="1"/>
    <x v="2"/>
    <n v="2022"/>
    <s v="Apr"/>
    <s v="31-35"/>
    <s v="60K-90K"/>
  </r>
  <r>
    <s v="E0820"/>
    <x v="0"/>
    <x v="20"/>
    <x v="2"/>
    <x v="2"/>
    <s v="Mid-Level"/>
    <n v="66470"/>
    <x v="210"/>
    <s v="Master's"/>
    <x v="3"/>
    <s v="Divorced"/>
    <n v="4"/>
    <n v="5"/>
    <n v="2"/>
    <s v="Low"/>
    <s v="No"/>
    <n v="224"/>
    <n v="34"/>
    <n v="9"/>
    <s v="No"/>
    <s v="Yes"/>
    <x v="1"/>
    <x v="1"/>
    <n v="2020"/>
    <s v="Jun"/>
    <s v="36-40"/>
    <s v="60K-90K"/>
  </r>
  <r>
    <s v="E0821"/>
    <x v="0"/>
    <x v="7"/>
    <x v="4"/>
    <x v="19"/>
    <s v="Mid-Level"/>
    <n v="51061"/>
    <x v="717"/>
    <s v="MBA"/>
    <x v="0"/>
    <s v="Married"/>
    <n v="2"/>
    <n v="1"/>
    <n v="2"/>
    <s v="Average"/>
    <s v="No"/>
    <n v="164"/>
    <n v="23"/>
    <n v="25"/>
    <s v="No"/>
    <s v="Yes"/>
    <x v="1"/>
    <x v="1"/>
    <n v="2025"/>
    <s v="Jun"/>
    <s v="26-30"/>
    <s v="40K-60K"/>
  </r>
  <r>
    <s v="E0822"/>
    <x v="1"/>
    <x v="22"/>
    <x v="3"/>
    <x v="4"/>
    <s v="Manager"/>
    <n v="158008"/>
    <x v="718"/>
    <s v="Master's"/>
    <x v="0"/>
    <s v="Married"/>
    <n v="18"/>
    <n v="4"/>
    <n v="2"/>
    <s v="Excellent"/>
    <s v="No"/>
    <n v="168"/>
    <n v="40"/>
    <n v="15"/>
    <s v="Yes"/>
    <s v="No"/>
    <x v="1"/>
    <x v="1"/>
    <n v="2022"/>
    <s v="Jan"/>
    <s v="41-50"/>
    <s v="130K+"/>
  </r>
  <r>
    <s v="E0823"/>
    <x v="0"/>
    <x v="29"/>
    <x v="4"/>
    <x v="18"/>
    <s v="Mid-Level"/>
    <n v="44012"/>
    <x v="719"/>
    <s v="Master's"/>
    <x v="2"/>
    <s v="Married"/>
    <n v="2"/>
    <n v="5"/>
    <n v="3"/>
    <s v="Average"/>
    <s v="Yes"/>
    <n v="202"/>
    <n v="59"/>
    <n v="26"/>
    <s v="Yes"/>
    <s v="Yes"/>
    <x v="1"/>
    <x v="2"/>
    <n v="2024"/>
    <s v="Feb"/>
    <s v="41-50"/>
    <s v="40K-60K"/>
  </r>
  <r>
    <s v="E0824"/>
    <x v="0"/>
    <x v="17"/>
    <x v="7"/>
    <x v="20"/>
    <s v="Senior"/>
    <n v="107221"/>
    <x v="720"/>
    <s v="Master's"/>
    <x v="6"/>
    <s v="Single"/>
    <n v="8"/>
    <n v="2"/>
    <n v="3"/>
    <s v="Low"/>
    <s v="No"/>
    <n v="199"/>
    <n v="35"/>
    <n v="22"/>
    <s v="No"/>
    <s v="No"/>
    <x v="0"/>
    <x v="0"/>
    <n v="2024"/>
    <s v="Jan"/>
    <s v="26-30"/>
    <s v="90K-130K"/>
  </r>
  <r>
    <s v="E0825"/>
    <x v="1"/>
    <x v="7"/>
    <x v="1"/>
    <x v="14"/>
    <s v="Junior"/>
    <n v="36771"/>
    <x v="721"/>
    <s v="Bachelor's"/>
    <x v="1"/>
    <s v="Divorced"/>
    <n v="2"/>
    <n v="3"/>
    <n v="1"/>
    <s v="Low"/>
    <s v="No"/>
    <n v="260"/>
    <n v="35"/>
    <n v="30"/>
    <s v="No"/>
    <s v="No"/>
    <x v="1"/>
    <x v="1"/>
    <n v="2024"/>
    <s v="Nov"/>
    <s v="26-30"/>
    <s v="&lt;40K"/>
  </r>
  <r>
    <s v="E0826"/>
    <x v="0"/>
    <x v="3"/>
    <x v="6"/>
    <x v="24"/>
    <s v="Junior"/>
    <n v="32885"/>
    <x v="139"/>
    <s v="Master's"/>
    <x v="1"/>
    <s v="Divorced"/>
    <n v="0"/>
    <n v="5"/>
    <n v="4"/>
    <s v="Good"/>
    <s v="No"/>
    <n v="193"/>
    <n v="59"/>
    <n v="10"/>
    <s v="No"/>
    <s v="Yes"/>
    <x v="1"/>
    <x v="1"/>
    <n v="2022"/>
    <s v="Sep"/>
    <s v="41-50"/>
    <s v="&lt;40K"/>
  </r>
  <r>
    <s v="E0827"/>
    <x v="0"/>
    <x v="5"/>
    <x v="4"/>
    <x v="5"/>
    <s v="Junior"/>
    <n v="40449"/>
    <x v="722"/>
    <s v="Master's"/>
    <x v="4"/>
    <s v="Married"/>
    <n v="3"/>
    <n v="2"/>
    <n v="2"/>
    <s v="Average"/>
    <s v="No"/>
    <n v="155"/>
    <n v="60"/>
    <n v="19"/>
    <s v="Yes"/>
    <s v="No"/>
    <x v="1"/>
    <x v="1"/>
    <n v="2026"/>
    <s v="Jan"/>
    <s v="41-50"/>
    <s v="40K-60K"/>
  </r>
  <r>
    <s v="E0828"/>
    <x v="0"/>
    <x v="7"/>
    <x v="6"/>
    <x v="26"/>
    <s v="Manager"/>
    <n v="95751"/>
    <x v="723"/>
    <s v="Diploma"/>
    <x v="6"/>
    <s v="Divorced"/>
    <n v="11"/>
    <n v="4"/>
    <n v="5"/>
    <s v="Average"/>
    <s v="No"/>
    <n v="159"/>
    <n v="33"/>
    <n v="25"/>
    <s v="Yes"/>
    <s v="Yes"/>
    <x v="1"/>
    <x v="1"/>
    <n v="2024"/>
    <s v="Mar"/>
    <s v="26-30"/>
    <s v="90K-130K"/>
  </r>
  <r>
    <s v="E0829"/>
    <x v="1"/>
    <x v="17"/>
    <x v="2"/>
    <x v="23"/>
    <s v="Senior"/>
    <n v="65766"/>
    <x v="724"/>
    <s v="Bachelor's"/>
    <x v="4"/>
    <s v="Single"/>
    <n v="14"/>
    <n v="1"/>
    <n v="3"/>
    <s v="Low"/>
    <s v="No"/>
    <n v="225"/>
    <n v="16"/>
    <n v="27"/>
    <s v="No"/>
    <s v="No"/>
    <x v="1"/>
    <x v="1"/>
    <n v="2023"/>
    <s v="Aug"/>
    <s v="26-30"/>
    <s v="60K-90K"/>
  </r>
  <r>
    <s v="E0830"/>
    <x v="0"/>
    <x v="4"/>
    <x v="7"/>
    <x v="20"/>
    <s v="Mid-Level"/>
    <n v="63538"/>
    <x v="514"/>
    <s v="Diploma"/>
    <x v="0"/>
    <s v="Divorced"/>
    <n v="7"/>
    <n v="4"/>
    <n v="2"/>
    <s v="Good"/>
    <s v="No"/>
    <n v="192"/>
    <n v="5"/>
    <n v="15"/>
    <s v="No"/>
    <s v="Yes"/>
    <x v="0"/>
    <x v="0"/>
    <n v="2019"/>
    <s v="Jan"/>
    <s v="26-30"/>
    <s v="60K-90K"/>
  </r>
  <r>
    <s v="E0831"/>
    <x v="1"/>
    <x v="13"/>
    <x v="3"/>
    <x v="4"/>
    <s v="Mid-Level"/>
    <n v="42881"/>
    <x v="195"/>
    <s v="Master's"/>
    <x v="0"/>
    <s v="Divorced"/>
    <n v="7"/>
    <n v="5"/>
    <n v="1"/>
    <s v="Low"/>
    <s v="No"/>
    <n v="185"/>
    <n v="27"/>
    <n v="8"/>
    <s v="Yes"/>
    <s v="No"/>
    <x v="1"/>
    <x v="1"/>
    <n v="2020"/>
    <s v="Feb"/>
    <s v="21-25"/>
    <s v="40K-60K"/>
  </r>
  <r>
    <s v="E0832"/>
    <x v="0"/>
    <x v="12"/>
    <x v="5"/>
    <x v="25"/>
    <s v="Junior"/>
    <n v="42728"/>
    <x v="725"/>
    <s v="MBA"/>
    <x v="7"/>
    <s v="Single"/>
    <n v="1"/>
    <n v="2"/>
    <n v="1"/>
    <s v="Low"/>
    <s v="Yes"/>
    <n v="242"/>
    <n v="25"/>
    <n v="17"/>
    <s v="No"/>
    <s v="No"/>
    <x v="1"/>
    <x v="1"/>
    <n v="2025"/>
    <s v="Dec"/>
    <s v="21-25"/>
    <s v="40K-60K"/>
  </r>
  <r>
    <s v="E0833"/>
    <x v="0"/>
    <x v="10"/>
    <x v="3"/>
    <x v="15"/>
    <s v="Mid-Level"/>
    <n v="64427"/>
    <x v="726"/>
    <s v="PhD"/>
    <x v="0"/>
    <s v="Divorced"/>
    <n v="5"/>
    <n v="1"/>
    <n v="2"/>
    <s v="Average"/>
    <s v="Yes"/>
    <n v="159"/>
    <n v="39"/>
    <n v="24"/>
    <s v="No"/>
    <s v="No"/>
    <x v="1"/>
    <x v="1"/>
    <n v="2020"/>
    <s v="Mar"/>
    <s v="21-25"/>
    <s v="60K-90K"/>
  </r>
  <r>
    <s v="E0834"/>
    <x v="1"/>
    <x v="19"/>
    <x v="6"/>
    <x v="26"/>
    <s v="Manager"/>
    <n v="145690"/>
    <x v="727"/>
    <s v="Bachelor's"/>
    <x v="0"/>
    <s v="Married"/>
    <n v="10"/>
    <n v="4"/>
    <n v="3"/>
    <s v="Good"/>
    <s v="No"/>
    <n v="183"/>
    <n v="53"/>
    <n v="26"/>
    <s v="No"/>
    <s v="No"/>
    <x v="1"/>
    <x v="2"/>
    <n v="2025"/>
    <s v="Nov"/>
    <s v="26-30"/>
    <s v="130K+"/>
  </r>
  <r>
    <s v="E0835"/>
    <x v="0"/>
    <x v="1"/>
    <x v="2"/>
    <x v="12"/>
    <s v="Junior"/>
    <n v="35528"/>
    <x v="728"/>
    <s v="Master's"/>
    <x v="0"/>
    <s v="Single"/>
    <n v="0"/>
    <n v="4"/>
    <n v="4"/>
    <s v="Average"/>
    <s v="No"/>
    <n v="224"/>
    <n v="11"/>
    <n v="18"/>
    <s v="No"/>
    <s v="No"/>
    <x v="0"/>
    <x v="0"/>
    <n v="2025"/>
    <s v="Apr"/>
    <s v="31-35"/>
    <s v="&lt;40K"/>
  </r>
  <r>
    <s v="E0836"/>
    <x v="0"/>
    <x v="8"/>
    <x v="1"/>
    <x v="31"/>
    <s v="Senior"/>
    <n v="99411"/>
    <x v="729"/>
    <s v="Bachelor's"/>
    <x v="7"/>
    <s v="Married"/>
    <n v="13"/>
    <n v="3"/>
    <n v="3"/>
    <s v="Average"/>
    <s v="No"/>
    <n v="220"/>
    <n v="22"/>
    <n v="27"/>
    <s v="Yes"/>
    <s v="No"/>
    <x v="1"/>
    <x v="1"/>
    <n v="2020"/>
    <s v="Jan"/>
    <s v="31-35"/>
    <s v="90K-130K"/>
  </r>
  <r>
    <s v="E0837"/>
    <x v="0"/>
    <x v="3"/>
    <x v="7"/>
    <x v="29"/>
    <s v="Manager"/>
    <n v="100506"/>
    <x v="730"/>
    <s v="Bachelor's"/>
    <x v="5"/>
    <s v="Divorced"/>
    <n v="19"/>
    <n v="4"/>
    <n v="2"/>
    <s v="Low"/>
    <s v="No"/>
    <n v="185"/>
    <n v="8"/>
    <n v="4"/>
    <s v="No"/>
    <s v="No"/>
    <x v="0"/>
    <x v="0"/>
    <n v="2022"/>
    <s v="Aug"/>
    <s v="41-50"/>
    <s v="90K-130K"/>
  </r>
  <r>
    <s v="E0838"/>
    <x v="0"/>
    <x v="12"/>
    <x v="2"/>
    <x v="23"/>
    <s v="Mid-Level"/>
    <n v="57754"/>
    <x v="731"/>
    <s v="MBA"/>
    <x v="4"/>
    <s v="Married"/>
    <n v="2"/>
    <n v="5"/>
    <n v="3"/>
    <s v="Low"/>
    <s v="Yes"/>
    <n v="250"/>
    <n v="69"/>
    <n v="22"/>
    <s v="No"/>
    <s v="Yes"/>
    <x v="1"/>
    <x v="1"/>
    <n v="2023"/>
    <s v="Dec"/>
    <s v="21-25"/>
    <s v="40K-60K"/>
  </r>
  <r>
    <s v="E0839"/>
    <x v="1"/>
    <x v="21"/>
    <x v="6"/>
    <x v="7"/>
    <s v="Mid-Level"/>
    <n v="61672"/>
    <x v="732"/>
    <s v="MBA"/>
    <x v="5"/>
    <s v="Married"/>
    <n v="7"/>
    <n v="5"/>
    <n v="4"/>
    <s v="Excellent"/>
    <s v="No"/>
    <n v="212"/>
    <n v="65"/>
    <n v="3"/>
    <s v="No"/>
    <s v="Yes"/>
    <x v="1"/>
    <x v="2"/>
    <n v="2025"/>
    <s v="Jun"/>
    <s v="36-40"/>
    <s v="60K-90K"/>
  </r>
  <r>
    <s v="E0840"/>
    <x v="1"/>
    <x v="4"/>
    <x v="0"/>
    <x v="10"/>
    <s v="Junior"/>
    <n v="28091"/>
    <x v="733"/>
    <s v="Diploma"/>
    <x v="2"/>
    <s v="Divorced"/>
    <n v="2"/>
    <n v="4"/>
    <n v="3"/>
    <s v="Average"/>
    <s v="No"/>
    <n v="193"/>
    <n v="56"/>
    <n v="14"/>
    <s v="No"/>
    <s v="Yes"/>
    <x v="1"/>
    <x v="1"/>
    <n v="2021"/>
    <s v="Oct"/>
    <s v="26-30"/>
    <s v="&lt;40K"/>
  </r>
  <r>
    <s v="E0841"/>
    <x v="0"/>
    <x v="1"/>
    <x v="4"/>
    <x v="19"/>
    <s v="Senior"/>
    <n v="98533"/>
    <x v="160"/>
    <s v="PhD"/>
    <x v="5"/>
    <s v="Divorced"/>
    <n v="8"/>
    <n v="3"/>
    <n v="1"/>
    <s v="Low"/>
    <s v="No"/>
    <n v="189"/>
    <n v="65"/>
    <n v="3"/>
    <s v="No"/>
    <s v="No"/>
    <x v="1"/>
    <x v="1"/>
    <n v="2022"/>
    <s v="Aug"/>
    <s v="31-35"/>
    <s v="90K-130K"/>
  </r>
  <r>
    <s v="E0842"/>
    <x v="0"/>
    <x v="2"/>
    <x v="4"/>
    <x v="18"/>
    <s v="Senior"/>
    <n v="66113"/>
    <x v="734"/>
    <s v="Bachelor's"/>
    <x v="1"/>
    <s v="Married"/>
    <n v="14"/>
    <n v="5"/>
    <n v="2"/>
    <s v="Good"/>
    <s v="Yes"/>
    <n v="158"/>
    <n v="72"/>
    <n v="5"/>
    <s v="No"/>
    <s v="Yes"/>
    <x v="1"/>
    <x v="1"/>
    <n v="2026"/>
    <s v="Feb"/>
    <s v="36-40"/>
    <s v="60K-90K"/>
  </r>
  <r>
    <s v="E0843"/>
    <x v="1"/>
    <x v="10"/>
    <x v="5"/>
    <x v="13"/>
    <s v="Manager"/>
    <n v="155332"/>
    <x v="735"/>
    <s v="Bachelor's"/>
    <x v="7"/>
    <s v="Married"/>
    <n v="11"/>
    <n v="2"/>
    <n v="4"/>
    <s v="Average"/>
    <s v="No"/>
    <n v="247"/>
    <n v="24"/>
    <n v="23"/>
    <s v="Yes"/>
    <s v="No"/>
    <x v="1"/>
    <x v="1"/>
    <n v="2024"/>
    <s v="Oct"/>
    <s v="21-25"/>
    <s v="130K+"/>
  </r>
  <r>
    <s v="E0844"/>
    <x v="1"/>
    <x v="11"/>
    <x v="5"/>
    <x v="13"/>
    <s v="Senior"/>
    <n v="91715"/>
    <x v="736"/>
    <s v="Diploma"/>
    <x v="7"/>
    <s v="Single"/>
    <n v="9"/>
    <n v="1"/>
    <n v="2"/>
    <s v="Low"/>
    <s v="No"/>
    <n v="246"/>
    <n v="44"/>
    <n v="26"/>
    <s v="No"/>
    <s v="No"/>
    <x v="1"/>
    <x v="1"/>
    <n v="2020"/>
    <s v="Oct"/>
    <s v="31-35"/>
    <s v="90K-130K"/>
  </r>
  <r>
    <s v="E0845"/>
    <x v="1"/>
    <x v="8"/>
    <x v="0"/>
    <x v="16"/>
    <s v="Senior"/>
    <n v="106394"/>
    <x v="737"/>
    <s v="Master's"/>
    <x v="4"/>
    <s v="Married"/>
    <n v="11"/>
    <n v="3"/>
    <n v="3"/>
    <s v="Average"/>
    <s v="No"/>
    <n v="260"/>
    <n v="42"/>
    <n v="8"/>
    <s v="No"/>
    <s v="Yes"/>
    <x v="1"/>
    <x v="1"/>
    <n v="2020"/>
    <s v="Oct"/>
    <s v="31-35"/>
    <s v="90K-130K"/>
  </r>
  <r>
    <s v="E0846"/>
    <x v="0"/>
    <x v="0"/>
    <x v="7"/>
    <x v="17"/>
    <s v="Senior"/>
    <n v="91947"/>
    <x v="738"/>
    <s v="Bachelor's"/>
    <x v="4"/>
    <s v="Single"/>
    <n v="9"/>
    <n v="5"/>
    <n v="5"/>
    <s v="Average"/>
    <s v="No"/>
    <n v="214"/>
    <n v="40"/>
    <n v="12"/>
    <s v="No"/>
    <s v="Yes"/>
    <x v="1"/>
    <x v="1"/>
    <n v="2022"/>
    <s v="Apr"/>
    <s v="31-35"/>
    <s v="90K-130K"/>
  </r>
  <r>
    <s v="E0847"/>
    <x v="1"/>
    <x v="11"/>
    <x v="0"/>
    <x v="0"/>
    <s v="Junior"/>
    <n v="37492"/>
    <x v="700"/>
    <s v="Diploma"/>
    <x v="2"/>
    <s v="Divorced"/>
    <n v="0"/>
    <n v="2"/>
    <n v="2"/>
    <s v="Good"/>
    <s v="Yes"/>
    <n v="176"/>
    <n v="20"/>
    <n v="14"/>
    <s v="No"/>
    <s v="No"/>
    <x v="0"/>
    <x v="0"/>
    <n v="2022"/>
    <s v="Apr"/>
    <s v="31-35"/>
    <s v="&lt;40K"/>
  </r>
  <r>
    <s v="E0848"/>
    <x v="0"/>
    <x v="24"/>
    <x v="6"/>
    <x v="7"/>
    <s v="Junior"/>
    <n v="31099"/>
    <x v="739"/>
    <s v="Bachelor's"/>
    <x v="0"/>
    <s v="Married"/>
    <n v="3"/>
    <n v="4"/>
    <n v="1"/>
    <s v="Average"/>
    <s v="No"/>
    <n v="156"/>
    <n v="22"/>
    <n v="14"/>
    <s v="No"/>
    <s v="No"/>
    <x v="1"/>
    <x v="1"/>
    <n v="2024"/>
    <s v="Nov"/>
    <s v="41-50"/>
    <s v="&lt;40K"/>
  </r>
  <r>
    <s v="E0849"/>
    <x v="0"/>
    <x v="16"/>
    <x v="0"/>
    <x v="16"/>
    <s v="Junior"/>
    <n v="30517"/>
    <x v="264"/>
    <s v="Diploma"/>
    <x v="7"/>
    <s v="Divorced"/>
    <n v="0"/>
    <n v="5"/>
    <n v="4"/>
    <s v="Low"/>
    <s v="No"/>
    <n v="199"/>
    <n v="6"/>
    <n v="7"/>
    <s v="Yes"/>
    <s v="Yes"/>
    <x v="1"/>
    <x v="1"/>
    <n v="2025"/>
    <s v="Nov"/>
    <s v="26-30"/>
    <s v="&lt;40K"/>
  </r>
  <r>
    <s v="E0850"/>
    <x v="0"/>
    <x v="7"/>
    <x v="2"/>
    <x v="30"/>
    <s v="Manager"/>
    <n v="104681"/>
    <x v="740"/>
    <s v="PhD"/>
    <x v="2"/>
    <s v="Divorced"/>
    <n v="16"/>
    <n v="5"/>
    <n v="5"/>
    <s v="Good"/>
    <s v="Yes"/>
    <n v="181"/>
    <n v="20"/>
    <n v="25"/>
    <s v="No"/>
    <s v="No"/>
    <x v="1"/>
    <x v="1"/>
    <n v="2020"/>
    <s v="Jun"/>
    <s v="26-30"/>
    <s v="90K-130K"/>
  </r>
  <r>
    <s v="E0851"/>
    <x v="0"/>
    <x v="16"/>
    <x v="4"/>
    <x v="5"/>
    <s v="Senior"/>
    <n v="73776"/>
    <x v="741"/>
    <s v="Diploma"/>
    <x v="2"/>
    <s v="Single"/>
    <n v="5"/>
    <n v="3"/>
    <n v="5"/>
    <s v="Good"/>
    <s v="Yes"/>
    <n v="253"/>
    <n v="33"/>
    <n v="9"/>
    <s v="No"/>
    <s v="Yes"/>
    <x v="1"/>
    <x v="2"/>
    <n v="2019"/>
    <s v="Nov"/>
    <s v="26-30"/>
    <s v="60K-90K"/>
  </r>
  <r>
    <s v="E0852"/>
    <x v="1"/>
    <x v="7"/>
    <x v="0"/>
    <x v="9"/>
    <s v="Manager"/>
    <n v="115520"/>
    <x v="742"/>
    <s v="PhD"/>
    <x v="2"/>
    <s v="Married"/>
    <n v="10"/>
    <n v="2"/>
    <n v="5"/>
    <s v="Good"/>
    <s v="No"/>
    <n v="214"/>
    <n v="58"/>
    <n v="4"/>
    <s v="Yes"/>
    <s v="No"/>
    <x v="0"/>
    <x v="0"/>
    <n v="2020"/>
    <s v="Oct"/>
    <s v="26-30"/>
    <s v="90K-130K"/>
  </r>
  <r>
    <s v="E0853"/>
    <x v="1"/>
    <x v="16"/>
    <x v="0"/>
    <x v="0"/>
    <s v="Mid-Level"/>
    <n v="59028"/>
    <x v="743"/>
    <s v="PhD"/>
    <x v="7"/>
    <s v="Married"/>
    <n v="6"/>
    <n v="1"/>
    <n v="3"/>
    <s v="Low"/>
    <s v="No"/>
    <n v="152"/>
    <n v="71"/>
    <n v="24"/>
    <s v="Yes"/>
    <s v="No"/>
    <x v="1"/>
    <x v="1"/>
    <n v="2023"/>
    <s v="Jul"/>
    <s v="26-30"/>
    <s v="40K-60K"/>
  </r>
  <r>
    <s v="E0854"/>
    <x v="0"/>
    <x v="26"/>
    <x v="4"/>
    <x v="27"/>
    <s v="Junior"/>
    <n v="34322"/>
    <x v="744"/>
    <s v="Bachelor's"/>
    <x v="7"/>
    <s v="Single"/>
    <n v="0"/>
    <n v="2"/>
    <n v="3"/>
    <s v="Excellent"/>
    <s v="No"/>
    <n v="200"/>
    <n v="14"/>
    <n v="12"/>
    <s v="No"/>
    <s v="Yes"/>
    <x v="1"/>
    <x v="1"/>
    <n v="2024"/>
    <s v="Oct"/>
    <s v="36-40"/>
    <s v="&lt;40K"/>
  </r>
  <r>
    <s v="E0855"/>
    <x v="0"/>
    <x v="22"/>
    <x v="6"/>
    <x v="26"/>
    <s v="Senior"/>
    <n v="87317"/>
    <x v="243"/>
    <s v="PhD"/>
    <x v="6"/>
    <s v="Married"/>
    <n v="10"/>
    <n v="4"/>
    <n v="5"/>
    <s v="Average"/>
    <s v="No"/>
    <n v="173"/>
    <n v="31"/>
    <n v="18"/>
    <s v="No"/>
    <s v="No"/>
    <x v="1"/>
    <x v="1"/>
    <n v="2019"/>
    <s v="Aug"/>
    <s v="41-50"/>
    <s v="60K-90K"/>
  </r>
  <r>
    <s v="E0856"/>
    <x v="0"/>
    <x v="7"/>
    <x v="2"/>
    <x v="12"/>
    <s v="Senior"/>
    <n v="101341"/>
    <x v="745"/>
    <s v="Diploma"/>
    <x v="3"/>
    <s v="Married"/>
    <n v="5"/>
    <n v="4"/>
    <n v="2"/>
    <s v="Low"/>
    <s v="No"/>
    <n v="188"/>
    <n v="32"/>
    <n v="9"/>
    <s v="No"/>
    <s v="No"/>
    <x v="1"/>
    <x v="1"/>
    <n v="2024"/>
    <s v="Dec"/>
    <s v="26-30"/>
    <s v="90K-130K"/>
  </r>
  <r>
    <s v="E0857"/>
    <x v="0"/>
    <x v="19"/>
    <x v="0"/>
    <x v="10"/>
    <s v="Senior"/>
    <n v="94591"/>
    <x v="746"/>
    <s v="MBA"/>
    <x v="3"/>
    <s v="Single"/>
    <n v="5"/>
    <n v="1"/>
    <n v="5"/>
    <s v="Excellent"/>
    <s v="No"/>
    <n v="222"/>
    <n v="37"/>
    <n v="20"/>
    <s v="Yes"/>
    <s v="Yes"/>
    <x v="1"/>
    <x v="2"/>
    <n v="2025"/>
    <s v="Oct"/>
    <s v="26-30"/>
    <s v="90K-130K"/>
  </r>
  <r>
    <s v="E0858"/>
    <x v="1"/>
    <x v="0"/>
    <x v="4"/>
    <x v="5"/>
    <s v="Manager"/>
    <n v="101751"/>
    <x v="132"/>
    <s v="Diploma"/>
    <x v="0"/>
    <s v="Single"/>
    <n v="16"/>
    <n v="2"/>
    <n v="5"/>
    <s v="Good"/>
    <s v="No"/>
    <n v="224"/>
    <n v="77"/>
    <n v="5"/>
    <s v="No"/>
    <s v="No"/>
    <x v="1"/>
    <x v="1"/>
    <n v="2022"/>
    <s v="Apr"/>
    <s v="31-35"/>
    <s v="90K-130K"/>
  </r>
  <r>
    <s v="E0859"/>
    <x v="1"/>
    <x v="7"/>
    <x v="1"/>
    <x v="14"/>
    <s v="Mid-Level"/>
    <n v="45550"/>
    <x v="747"/>
    <s v="Bachelor's"/>
    <x v="6"/>
    <s v="Single"/>
    <n v="3"/>
    <n v="3"/>
    <n v="2"/>
    <s v="Excellent"/>
    <s v="No"/>
    <n v="201"/>
    <n v="20"/>
    <n v="16"/>
    <s v="No"/>
    <s v="Yes"/>
    <x v="1"/>
    <x v="1"/>
    <n v="2021"/>
    <s v="Jul"/>
    <s v="26-30"/>
    <s v="40K-60K"/>
  </r>
  <r>
    <s v="E0860"/>
    <x v="1"/>
    <x v="2"/>
    <x v="6"/>
    <x v="26"/>
    <s v="Senior"/>
    <n v="101808"/>
    <x v="748"/>
    <s v="Diploma"/>
    <x v="3"/>
    <s v="Divorced"/>
    <n v="8"/>
    <n v="5"/>
    <n v="2"/>
    <s v="Low"/>
    <s v="No"/>
    <n v="235"/>
    <n v="41"/>
    <n v="28"/>
    <s v="Yes"/>
    <s v="No"/>
    <x v="1"/>
    <x v="1"/>
    <n v="2024"/>
    <s v="Oct"/>
    <s v="36-40"/>
    <s v="90K-130K"/>
  </r>
  <r>
    <s v="E0861"/>
    <x v="1"/>
    <x v="8"/>
    <x v="2"/>
    <x v="12"/>
    <s v="Manager"/>
    <n v="134740"/>
    <x v="460"/>
    <s v="Master's"/>
    <x v="7"/>
    <s v="Divorced"/>
    <n v="8"/>
    <n v="2"/>
    <n v="4"/>
    <s v="Good"/>
    <s v="No"/>
    <n v="247"/>
    <n v="16"/>
    <n v="27"/>
    <s v="No"/>
    <s v="No"/>
    <x v="1"/>
    <x v="2"/>
    <n v="2025"/>
    <s v="Feb"/>
    <s v="31-35"/>
    <s v="130K+"/>
  </r>
  <r>
    <s v="E0862"/>
    <x v="1"/>
    <x v="9"/>
    <x v="3"/>
    <x v="4"/>
    <s v="Junior"/>
    <n v="35098"/>
    <x v="749"/>
    <s v="Diploma"/>
    <x v="4"/>
    <s v="Divorced"/>
    <n v="0"/>
    <n v="4"/>
    <n v="4"/>
    <s v="Good"/>
    <s v="Yes"/>
    <n v="236"/>
    <n v="20"/>
    <n v="10"/>
    <s v="Yes"/>
    <s v="No"/>
    <x v="1"/>
    <x v="1"/>
    <n v="2025"/>
    <s v="Apr"/>
    <s v="21-25"/>
    <s v="&lt;40K"/>
  </r>
  <r>
    <s v="E0863"/>
    <x v="1"/>
    <x v="3"/>
    <x v="6"/>
    <x v="26"/>
    <s v="Senior"/>
    <n v="98359"/>
    <x v="662"/>
    <s v="Diploma"/>
    <x v="7"/>
    <s v="Divorced"/>
    <n v="9"/>
    <n v="1"/>
    <n v="1"/>
    <s v="Excellent"/>
    <s v="Yes"/>
    <n v="211"/>
    <n v="54"/>
    <n v="4"/>
    <s v="Yes"/>
    <s v="No"/>
    <x v="0"/>
    <x v="0"/>
    <n v="2026"/>
    <s v="Jan"/>
    <s v="41-50"/>
    <s v="90K-130K"/>
  </r>
  <r>
    <s v="E0864"/>
    <x v="0"/>
    <x v="18"/>
    <x v="4"/>
    <x v="19"/>
    <s v="Junior"/>
    <n v="30661"/>
    <x v="264"/>
    <s v="Diploma"/>
    <x v="2"/>
    <s v="Single"/>
    <n v="1"/>
    <n v="3"/>
    <n v="1"/>
    <s v="Good"/>
    <s v="Yes"/>
    <n v="158"/>
    <n v="14"/>
    <n v="29"/>
    <s v="No"/>
    <s v="No"/>
    <x v="1"/>
    <x v="1"/>
    <n v="2025"/>
    <s v="Nov"/>
    <s v="41-50"/>
    <s v="&lt;40K"/>
  </r>
  <r>
    <s v="E0865"/>
    <x v="0"/>
    <x v="16"/>
    <x v="7"/>
    <x v="17"/>
    <s v="Mid-Level"/>
    <n v="62628"/>
    <x v="750"/>
    <s v="MBA"/>
    <x v="0"/>
    <s v="Divorced"/>
    <n v="6"/>
    <n v="5"/>
    <n v="4"/>
    <s v="Good"/>
    <s v="No"/>
    <n v="202"/>
    <n v="39"/>
    <n v="2"/>
    <s v="No"/>
    <s v="No"/>
    <x v="0"/>
    <x v="0"/>
    <n v="2021"/>
    <s v="Mar"/>
    <s v="26-30"/>
    <s v="60K-90K"/>
  </r>
  <r>
    <s v="E0866"/>
    <x v="1"/>
    <x v="17"/>
    <x v="7"/>
    <x v="20"/>
    <s v="Manager"/>
    <n v="111274"/>
    <x v="751"/>
    <s v="MBA"/>
    <x v="5"/>
    <s v="Divorced"/>
    <n v="8"/>
    <n v="2"/>
    <n v="4"/>
    <s v="Low"/>
    <s v="No"/>
    <n v="235"/>
    <n v="67"/>
    <n v="25"/>
    <s v="No"/>
    <s v="No"/>
    <x v="1"/>
    <x v="2"/>
    <n v="2024"/>
    <s v="Jan"/>
    <s v="26-30"/>
    <s v="90K-130K"/>
  </r>
  <r>
    <s v="E0867"/>
    <x v="1"/>
    <x v="11"/>
    <x v="0"/>
    <x v="9"/>
    <s v="Junior"/>
    <n v="36635"/>
    <x v="752"/>
    <s v="PhD"/>
    <x v="0"/>
    <s v="Single"/>
    <n v="0"/>
    <n v="5"/>
    <n v="5"/>
    <s v="Average"/>
    <s v="No"/>
    <n v="158"/>
    <n v="45"/>
    <n v="13"/>
    <s v="No"/>
    <s v="No"/>
    <x v="1"/>
    <x v="1"/>
    <n v="2023"/>
    <s v="Jun"/>
    <s v="31-35"/>
    <s v="&lt;40K"/>
  </r>
  <r>
    <s v="E0868"/>
    <x v="0"/>
    <x v="11"/>
    <x v="3"/>
    <x v="4"/>
    <s v="Junior"/>
    <n v="43308"/>
    <x v="753"/>
    <s v="Master's"/>
    <x v="5"/>
    <s v="Married"/>
    <n v="0"/>
    <n v="1"/>
    <n v="2"/>
    <s v="Low"/>
    <s v="Yes"/>
    <n v="236"/>
    <n v="33"/>
    <n v="26"/>
    <s v="No"/>
    <s v="Yes"/>
    <x v="0"/>
    <x v="0"/>
    <n v="2024"/>
    <s v="Mar"/>
    <s v="31-35"/>
    <s v="40K-60K"/>
  </r>
  <r>
    <s v="E0869"/>
    <x v="0"/>
    <x v="2"/>
    <x v="3"/>
    <x v="21"/>
    <s v="Manager"/>
    <n v="154978"/>
    <x v="754"/>
    <s v="Diploma"/>
    <x v="2"/>
    <s v="Married"/>
    <n v="16"/>
    <n v="3"/>
    <n v="4"/>
    <s v="Good"/>
    <s v="Yes"/>
    <n v="174"/>
    <n v="80"/>
    <n v="3"/>
    <s v="No"/>
    <s v="No"/>
    <x v="1"/>
    <x v="1"/>
    <n v="2025"/>
    <s v="Jun"/>
    <s v="36-40"/>
    <s v="130K+"/>
  </r>
  <r>
    <s v="E0870"/>
    <x v="1"/>
    <x v="30"/>
    <x v="0"/>
    <x v="9"/>
    <s v="Manager"/>
    <n v="128537"/>
    <x v="755"/>
    <s v="Master's"/>
    <x v="2"/>
    <s v="Single"/>
    <n v="16"/>
    <n v="1"/>
    <n v="4"/>
    <s v="Excellent"/>
    <s v="No"/>
    <n v="186"/>
    <n v="65"/>
    <n v="19"/>
    <s v="Yes"/>
    <s v="Yes"/>
    <x v="1"/>
    <x v="1"/>
    <n v="2019"/>
    <s v="Jun"/>
    <s v="41-50"/>
    <s v="90K-130K"/>
  </r>
  <r>
    <s v="E0871"/>
    <x v="1"/>
    <x v="4"/>
    <x v="7"/>
    <x v="8"/>
    <s v="Mid-Level"/>
    <n v="44463"/>
    <x v="756"/>
    <s v="Master's"/>
    <x v="2"/>
    <s v="Divorced"/>
    <n v="2"/>
    <n v="1"/>
    <n v="4"/>
    <s v="Excellent"/>
    <s v="No"/>
    <n v="218"/>
    <n v="26"/>
    <n v="20"/>
    <s v="No"/>
    <s v="No"/>
    <x v="0"/>
    <x v="0"/>
    <n v="2020"/>
    <s v="Oct"/>
    <s v="26-30"/>
    <s v="40K-60K"/>
  </r>
  <r>
    <s v="E0872"/>
    <x v="1"/>
    <x v="19"/>
    <x v="7"/>
    <x v="17"/>
    <s v="Mid-Level"/>
    <n v="66834"/>
    <x v="757"/>
    <s v="MBA"/>
    <x v="7"/>
    <s v="Single"/>
    <n v="5"/>
    <n v="5"/>
    <n v="2"/>
    <s v="Good"/>
    <s v="Yes"/>
    <n v="258"/>
    <n v="34"/>
    <n v="20"/>
    <s v="No"/>
    <s v="No"/>
    <x v="1"/>
    <x v="1"/>
    <n v="2021"/>
    <s v="Aug"/>
    <s v="26-30"/>
    <s v="60K-90K"/>
  </r>
  <r>
    <s v="E0873"/>
    <x v="1"/>
    <x v="13"/>
    <x v="4"/>
    <x v="18"/>
    <s v="Junior"/>
    <n v="42862"/>
    <x v="758"/>
    <s v="Bachelor's"/>
    <x v="4"/>
    <s v="Single"/>
    <n v="3"/>
    <n v="4"/>
    <n v="4"/>
    <s v="Excellent"/>
    <s v="Yes"/>
    <n v="201"/>
    <n v="74"/>
    <n v="6"/>
    <s v="Yes"/>
    <s v="No"/>
    <x v="1"/>
    <x v="1"/>
    <n v="2019"/>
    <s v="Sep"/>
    <s v="21-25"/>
    <s v="40K-60K"/>
  </r>
  <r>
    <s v="E0874"/>
    <x v="0"/>
    <x v="19"/>
    <x v="1"/>
    <x v="11"/>
    <s v="Senior"/>
    <n v="109163"/>
    <x v="759"/>
    <s v="PhD"/>
    <x v="1"/>
    <s v="Divorced"/>
    <n v="7"/>
    <n v="4"/>
    <n v="3"/>
    <s v="Good"/>
    <s v="Yes"/>
    <n v="249"/>
    <n v="56"/>
    <n v="20"/>
    <s v="Yes"/>
    <s v="No"/>
    <x v="1"/>
    <x v="1"/>
    <n v="2019"/>
    <s v="Dec"/>
    <s v="26-30"/>
    <s v="90K-130K"/>
  </r>
  <r>
    <s v="E0875"/>
    <x v="0"/>
    <x v="1"/>
    <x v="2"/>
    <x v="12"/>
    <s v="Senior"/>
    <n v="102215"/>
    <x v="760"/>
    <s v="Diploma"/>
    <x v="2"/>
    <s v="Divorced"/>
    <n v="11"/>
    <n v="5"/>
    <n v="1"/>
    <s v="Low"/>
    <s v="No"/>
    <n v="225"/>
    <n v="25"/>
    <n v="6"/>
    <s v="Yes"/>
    <s v="No"/>
    <x v="1"/>
    <x v="1"/>
    <n v="2024"/>
    <s v="Feb"/>
    <s v="31-35"/>
    <s v="90K-130K"/>
  </r>
  <r>
    <s v="E0876"/>
    <x v="0"/>
    <x v="18"/>
    <x v="1"/>
    <x v="1"/>
    <s v="Senior"/>
    <n v="98250"/>
    <x v="761"/>
    <s v="MBA"/>
    <x v="4"/>
    <s v="Married"/>
    <n v="9"/>
    <n v="2"/>
    <n v="3"/>
    <s v="Excellent"/>
    <s v="No"/>
    <n v="193"/>
    <n v="9"/>
    <n v="24"/>
    <s v="No"/>
    <s v="Yes"/>
    <x v="1"/>
    <x v="2"/>
    <n v="2026"/>
    <s v="Apr"/>
    <s v="41-50"/>
    <s v="90K-130K"/>
  </r>
  <r>
    <s v="E0877"/>
    <x v="0"/>
    <x v="7"/>
    <x v="3"/>
    <x v="21"/>
    <s v="Mid-Level"/>
    <n v="59824"/>
    <x v="762"/>
    <s v="Diploma"/>
    <x v="6"/>
    <s v="Married"/>
    <n v="5"/>
    <n v="4"/>
    <n v="4"/>
    <s v="Excellent"/>
    <s v="Yes"/>
    <n v="219"/>
    <n v="14"/>
    <n v="21"/>
    <s v="Yes"/>
    <s v="No"/>
    <x v="0"/>
    <x v="0"/>
    <n v="2024"/>
    <s v="Jan"/>
    <s v="26-30"/>
    <s v="40K-60K"/>
  </r>
  <r>
    <s v="E0878"/>
    <x v="1"/>
    <x v="8"/>
    <x v="7"/>
    <x v="17"/>
    <s v="Manager"/>
    <n v="109649"/>
    <x v="717"/>
    <s v="Master's"/>
    <x v="4"/>
    <s v="Divorced"/>
    <n v="17"/>
    <n v="4"/>
    <n v="5"/>
    <s v="Average"/>
    <s v="No"/>
    <n v="241"/>
    <n v="68"/>
    <n v="25"/>
    <s v="Yes"/>
    <s v="No"/>
    <x v="1"/>
    <x v="1"/>
    <n v="2025"/>
    <s v="Jun"/>
    <s v="31-35"/>
    <s v="90K-130K"/>
  </r>
  <r>
    <s v="E0879"/>
    <x v="0"/>
    <x v="1"/>
    <x v="4"/>
    <x v="19"/>
    <s v="Mid-Level"/>
    <n v="54080"/>
    <x v="763"/>
    <s v="Diploma"/>
    <x v="5"/>
    <s v="Single"/>
    <n v="2"/>
    <n v="1"/>
    <n v="3"/>
    <s v="Low"/>
    <s v="No"/>
    <n v="198"/>
    <n v="26"/>
    <n v="10"/>
    <s v="No"/>
    <s v="No"/>
    <x v="1"/>
    <x v="1"/>
    <n v="2022"/>
    <s v="Jan"/>
    <s v="31-35"/>
    <s v="40K-60K"/>
  </r>
  <r>
    <s v="E0880"/>
    <x v="1"/>
    <x v="26"/>
    <x v="3"/>
    <x v="3"/>
    <s v="Senior"/>
    <n v="76963"/>
    <x v="764"/>
    <s v="Diploma"/>
    <x v="2"/>
    <s v="Single"/>
    <n v="13"/>
    <n v="4"/>
    <n v="5"/>
    <s v="Average"/>
    <s v="No"/>
    <n v="175"/>
    <n v="22"/>
    <n v="23"/>
    <s v="No"/>
    <s v="No"/>
    <x v="1"/>
    <x v="1"/>
    <n v="2023"/>
    <s v="May"/>
    <s v="36-40"/>
    <s v="60K-90K"/>
  </r>
  <r>
    <s v="E0881"/>
    <x v="1"/>
    <x v="24"/>
    <x v="1"/>
    <x v="14"/>
    <s v="Junior"/>
    <n v="39147"/>
    <x v="765"/>
    <s v="MBA"/>
    <x v="6"/>
    <s v="Single"/>
    <n v="3"/>
    <n v="3"/>
    <n v="1"/>
    <s v="Good"/>
    <s v="No"/>
    <n v="237"/>
    <n v="54"/>
    <n v="7"/>
    <s v="No"/>
    <s v="No"/>
    <x v="1"/>
    <x v="1"/>
    <n v="2020"/>
    <s v="Nov"/>
    <s v="41-50"/>
    <s v="&lt;40K"/>
  </r>
  <r>
    <s v="E0882"/>
    <x v="1"/>
    <x v="7"/>
    <x v="1"/>
    <x v="14"/>
    <s v="Senior"/>
    <n v="99717"/>
    <x v="766"/>
    <s v="Bachelor's"/>
    <x v="6"/>
    <s v="Divorced"/>
    <n v="14"/>
    <n v="1"/>
    <n v="2"/>
    <s v="Good"/>
    <s v="No"/>
    <n v="163"/>
    <n v="54"/>
    <n v="29"/>
    <s v="No"/>
    <s v="No"/>
    <x v="1"/>
    <x v="1"/>
    <n v="2023"/>
    <s v="Feb"/>
    <s v="26-30"/>
    <s v="90K-130K"/>
  </r>
  <r>
    <s v="E0883"/>
    <x v="0"/>
    <x v="7"/>
    <x v="3"/>
    <x v="4"/>
    <s v="Senior"/>
    <n v="82151"/>
    <x v="767"/>
    <s v="Diploma"/>
    <x v="1"/>
    <s v="Single"/>
    <n v="8"/>
    <n v="2"/>
    <n v="3"/>
    <s v="Excellent"/>
    <s v="No"/>
    <n v="229"/>
    <n v="66"/>
    <n v="7"/>
    <s v="Yes"/>
    <s v="Yes"/>
    <x v="1"/>
    <x v="1"/>
    <n v="2019"/>
    <s v="Feb"/>
    <s v="26-30"/>
    <s v="60K-90K"/>
  </r>
  <r>
    <s v="E0884"/>
    <x v="1"/>
    <x v="20"/>
    <x v="1"/>
    <x v="11"/>
    <s v="Junior"/>
    <n v="30818"/>
    <x v="768"/>
    <s v="MBA"/>
    <x v="4"/>
    <s v="Single"/>
    <n v="2"/>
    <n v="4"/>
    <n v="3"/>
    <s v="Low"/>
    <s v="Yes"/>
    <n v="191"/>
    <n v="32"/>
    <n v="25"/>
    <s v="Yes"/>
    <s v="No"/>
    <x v="1"/>
    <x v="1"/>
    <n v="2021"/>
    <s v="May"/>
    <s v="36-40"/>
    <s v="&lt;40K"/>
  </r>
  <r>
    <s v="E0885"/>
    <x v="0"/>
    <x v="2"/>
    <x v="4"/>
    <x v="18"/>
    <s v="Junior"/>
    <n v="35803"/>
    <x v="769"/>
    <s v="Master's"/>
    <x v="1"/>
    <s v="Married"/>
    <n v="3"/>
    <n v="3"/>
    <n v="1"/>
    <s v="Low"/>
    <s v="Yes"/>
    <n v="229"/>
    <n v="9"/>
    <n v="26"/>
    <s v="No"/>
    <s v="No"/>
    <x v="1"/>
    <x v="1"/>
    <n v="2024"/>
    <s v="Jan"/>
    <s v="36-40"/>
    <s v="&lt;40K"/>
  </r>
  <r>
    <s v="E0886"/>
    <x v="1"/>
    <x v="18"/>
    <x v="4"/>
    <x v="27"/>
    <s v="Manager"/>
    <n v="97882"/>
    <x v="770"/>
    <s v="Diploma"/>
    <x v="4"/>
    <s v="Married"/>
    <n v="17"/>
    <n v="4"/>
    <n v="1"/>
    <s v="Average"/>
    <s v="No"/>
    <n v="196"/>
    <n v="22"/>
    <n v="12"/>
    <s v="No"/>
    <s v="No"/>
    <x v="1"/>
    <x v="2"/>
    <n v="2020"/>
    <s v="Jun"/>
    <s v="41-50"/>
    <s v="90K-130K"/>
  </r>
  <r>
    <s v="E0887"/>
    <x v="1"/>
    <x v="2"/>
    <x v="0"/>
    <x v="0"/>
    <s v="Manager"/>
    <n v="148953"/>
    <x v="683"/>
    <s v="Diploma"/>
    <x v="4"/>
    <s v="Divorced"/>
    <n v="16"/>
    <n v="3"/>
    <n v="3"/>
    <s v="Good"/>
    <s v="Yes"/>
    <n v="167"/>
    <n v="74"/>
    <n v="22"/>
    <s v="No"/>
    <s v="No"/>
    <x v="1"/>
    <x v="2"/>
    <n v="2023"/>
    <s v="Dec"/>
    <s v="36-40"/>
    <s v="130K+"/>
  </r>
  <r>
    <s v="E0888"/>
    <x v="1"/>
    <x v="17"/>
    <x v="3"/>
    <x v="3"/>
    <s v="Mid-Level"/>
    <n v="58450"/>
    <x v="771"/>
    <s v="Bachelor's"/>
    <x v="3"/>
    <s v="Single"/>
    <n v="3"/>
    <n v="5"/>
    <n v="1"/>
    <s v="Low"/>
    <s v="Yes"/>
    <n v="253"/>
    <n v="10"/>
    <n v="6"/>
    <s v="No"/>
    <s v="No"/>
    <x v="1"/>
    <x v="1"/>
    <n v="2022"/>
    <s v="Jun"/>
    <s v="26-30"/>
    <s v="40K-60K"/>
  </r>
  <r>
    <s v="E0889"/>
    <x v="0"/>
    <x v="2"/>
    <x v="1"/>
    <x v="31"/>
    <s v="Mid-Level"/>
    <n v="46296"/>
    <x v="546"/>
    <s v="PhD"/>
    <x v="5"/>
    <s v="Divorced"/>
    <n v="7"/>
    <n v="3"/>
    <n v="3"/>
    <s v="Average"/>
    <s v="Yes"/>
    <n v="176"/>
    <n v="59"/>
    <n v="19"/>
    <s v="No"/>
    <s v="Yes"/>
    <x v="1"/>
    <x v="1"/>
    <n v="2020"/>
    <s v="Apr"/>
    <s v="36-40"/>
    <s v="40K-60K"/>
  </r>
  <r>
    <s v="E0890"/>
    <x v="0"/>
    <x v="20"/>
    <x v="5"/>
    <x v="6"/>
    <s v="Senior"/>
    <n v="99066"/>
    <x v="772"/>
    <s v="Master's"/>
    <x v="7"/>
    <s v="Married"/>
    <n v="13"/>
    <n v="4"/>
    <n v="4"/>
    <s v="Excellent"/>
    <s v="No"/>
    <n v="229"/>
    <n v="42"/>
    <n v="22"/>
    <s v="No"/>
    <s v="No"/>
    <x v="1"/>
    <x v="1"/>
    <n v="2025"/>
    <s v="Dec"/>
    <s v="36-40"/>
    <s v="90K-130K"/>
  </r>
  <r>
    <s v="E0891"/>
    <x v="0"/>
    <x v="6"/>
    <x v="6"/>
    <x v="22"/>
    <s v="Mid-Level"/>
    <n v="54085"/>
    <x v="773"/>
    <s v="Bachelor's"/>
    <x v="3"/>
    <s v="Single"/>
    <n v="4"/>
    <n v="1"/>
    <n v="5"/>
    <s v="Low"/>
    <s v="Yes"/>
    <n v="253"/>
    <n v="21"/>
    <n v="8"/>
    <s v="No"/>
    <s v="No"/>
    <x v="1"/>
    <x v="1"/>
    <n v="2021"/>
    <s v="May"/>
    <s v="36-40"/>
    <s v="40K-60K"/>
  </r>
  <r>
    <s v="E0892"/>
    <x v="0"/>
    <x v="0"/>
    <x v="5"/>
    <x v="28"/>
    <s v="Junior"/>
    <n v="40358"/>
    <x v="774"/>
    <s v="Diploma"/>
    <x v="6"/>
    <s v="Married"/>
    <n v="0"/>
    <n v="5"/>
    <n v="2"/>
    <s v="Low"/>
    <s v="No"/>
    <n v="183"/>
    <n v="73"/>
    <n v="7"/>
    <s v="No"/>
    <s v="No"/>
    <x v="1"/>
    <x v="2"/>
    <n v="2020"/>
    <s v="Jan"/>
    <s v="31-35"/>
    <s v="40K-60K"/>
  </r>
  <r>
    <s v="E0893"/>
    <x v="0"/>
    <x v="20"/>
    <x v="7"/>
    <x v="8"/>
    <s v="Mid-Level"/>
    <n v="53471"/>
    <x v="753"/>
    <s v="PhD"/>
    <x v="3"/>
    <s v="Divorced"/>
    <n v="5"/>
    <n v="3"/>
    <n v="3"/>
    <s v="Low"/>
    <s v="No"/>
    <n v="196"/>
    <n v="46"/>
    <n v="6"/>
    <s v="No"/>
    <s v="No"/>
    <x v="1"/>
    <x v="1"/>
    <n v="2024"/>
    <s v="Mar"/>
    <s v="36-40"/>
    <s v="40K-60K"/>
  </r>
  <r>
    <s v="E0894"/>
    <x v="1"/>
    <x v="26"/>
    <x v="4"/>
    <x v="19"/>
    <s v="Junior"/>
    <n v="40861"/>
    <x v="775"/>
    <s v="PhD"/>
    <x v="0"/>
    <s v="Single"/>
    <n v="0"/>
    <n v="2"/>
    <n v="4"/>
    <s v="Excellent"/>
    <s v="Yes"/>
    <n v="232"/>
    <n v="32"/>
    <n v="20"/>
    <s v="No"/>
    <s v="No"/>
    <x v="0"/>
    <x v="0"/>
    <n v="2025"/>
    <s v="Feb"/>
    <s v="36-40"/>
    <s v="40K-60K"/>
  </r>
  <r>
    <s v="E0895"/>
    <x v="0"/>
    <x v="22"/>
    <x v="0"/>
    <x v="0"/>
    <s v="Mid-Level"/>
    <n v="47653"/>
    <x v="776"/>
    <s v="Bachelor's"/>
    <x v="7"/>
    <s v="Married"/>
    <n v="3"/>
    <n v="5"/>
    <n v="5"/>
    <s v="Low"/>
    <s v="Yes"/>
    <n v="244"/>
    <n v="43"/>
    <n v="9"/>
    <s v="No"/>
    <s v="No"/>
    <x v="1"/>
    <x v="1"/>
    <n v="2025"/>
    <s v="Jun"/>
    <s v="41-50"/>
    <s v="40K-60K"/>
  </r>
  <r>
    <s v="E0896"/>
    <x v="0"/>
    <x v="2"/>
    <x v="6"/>
    <x v="22"/>
    <s v="Senior"/>
    <n v="81024"/>
    <x v="777"/>
    <s v="PhD"/>
    <x v="6"/>
    <s v="Divorced"/>
    <n v="14"/>
    <n v="2"/>
    <n v="3"/>
    <s v="Excellent"/>
    <s v="No"/>
    <n v="189"/>
    <n v="33"/>
    <n v="7"/>
    <s v="No"/>
    <s v="No"/>
    <x v="1"/>
    <x v="1"/>
    <n v="2025"/>
    <s v="Jan"/>
    <s v="36-40"/>
    <s v="60K-90K"/>
  </r>
  <r>
    <s v="E0897"/>
    <x v="0"/>
    <x v="4"/>
    <x v="0"/>
    <x v="0"/>
    <s v="Senior"/>
    <n v="81639"/>
    <x v="778"/>
    <s v="Diploma"/>
    <x v="3"/>
    <s v="Married"/>
    <n v="14"/>
    <n v="5"/>
    <n v="1"/>
    <s v="Low"/>
    <s v="Yes"/>
    <n v="207"/>
    <n v="25"/>
    <n v="3"/>
    <s v="No"/>
    <s v="No"/>
    <x v="0"/>
    <x v="0"/>
    <n v="2024"/>
    <s v="Aug"/>
    <s v="26-30"/>
    <s v="60K-90K"/>
  </r>
  <r>
    <s v="E0898"/>
    <x v="0"/>
    <x v="8"/>
    <x v="7"/>
    <x v="17"/>
    <s v="Junior"/>
    <n v="35020"/>
    <x v="779"/>
    <s v="Bachelor's"/>
    <x v="1"/>
    <s v="Single"/>
    <n v="3"/>
    <n v="2"/>
    <n v="5"/>
    <s v="Good"/>
    <s v="No"/>
    <n v="216"/>
    <n v="55"/>
    <n v="25"/>
    <s v="No"/>
    <s v="No"/>
    <x v="0"/>
    <x v="0"/>
    <n v="2022"/>
    <s v="Aug"/>
    <s v="31-35"/>
    <s v="&lt;40K"/>
  </r>
  <r>
    <s v="E0899"/>
    <x v="0"/>
    <x v="26"/>
    <x v="1"/>
    <x v="14"/>
    <s v="Junior"/>
    <n v="29457"/>
    <x v="780"/>
    <s v="Master's"/>
    <x v="4"/>
    <s v="Divorced"/>
    <n v="2"/>
    <n v="4"/>
    <n v="5"/>
    <s v="Good"/>
    <s v="No"/>
    <n v="209"/>
    <n v="28"/>
    <n v="9"/>
    <s v="No"/>
    <s v="No"/>
    <x v="1"/>
    <x v="2"/>
    <n v="2025"/>
    <s v="Mar"/>
    <s v="36-40"/>
    <s v="&lt;40K"/>
  </r>
  <r>
    <s v="E0900"/>
    <x v="0"/>
    <x v="19"/>
    <x v="0"/>
    <x v="9"/>
    <s v="Junior"/>
    <n v="37113"/>
    <x v="261"/>
    <s v="Bachelor's"/>
    <x v="4"/>
    <s v="Single"/>
    <n v="2"/>
    <n v="4"/>
    <n v="1"/>
    <s v="Average"/>
    <s v="No"/>
    <n v="259"/>
    <n v="78"/>
    <n v="30"/>
    <s v="Yes"/>
    <s v="No"/>
    <x v="0"/>
    <x v="0"/>
    <n v="2021"/>
    <s v="Aug"/>
    <s v="26-30"/>
    <s v="&lt;40K"/>
  </r>
  <r>
    <s v="E0901"/>
    <x v="0"/>
    <x v="11"/>
    <x v="6"/>
    <x v="26"/>
    <s v="Senior"/>
    <n v="108516"/>
    <x v="478"/>
    <s v="Master's"/>
    <x v="5"/>
    <s v="Divorced"/>
    <n v="5"/>
    <n v="3"/>
    <n v="2"/>
    <s v="Excellent"/>
    <s v="No"/>
    <n v="185"/>
    <n v="65"/>
    <n v="4"/>
    <s v="Yes"/>
    <s v="No"/>
    <x v="0"/>
    <x v="0"/>
    <n v="2020"/>
    <s v="Jan"/>
    <s v="31-35"/>
    <s v="90K-130K"/>
  </r>
  <r>
    <s v="E0902"/>
    <x v="1"/>
    <x v="17"/>
    <x v="2"/>
    <x v="23"/>
    <s v="Mid-Level"/>
    <n v="55035"/>
    <x v="781"/>
    <s v="PhD"/>
    <x v="7"/>
    <s v="Married"/>
    <n v="2"/>
    <n v="2"/>
    <n v="2"/>
    <s v="Average"/>
    <s v="Yes"/>
    <n v="176"/>
    <n v="11"/>
    <n v="5"/>
    <s v="No"/>
    <s v="No"/>
    <x v="0"/>
    <x v="0"/>
    <n v="2026"/>
    <s v="Feb"/>
    <s v="26-30"/>
    <s v="40K-60K"/>
  </r>
  <r>
    <s v="E0903"/>
    <x v="0"/>
    <x v="14"/>
    <x v="2"/>
    <x v="23"/>
    <s v="Manager"/>
    <n v="142782"/>
    <x v="474"/>
    <s v="MBA"/>
    <x v="6"/>
    <s v="Single"/>
    <n v="9"/>
    <n v="2"/>
    <n v="1"/>
    <s v="Average"/>
    <s v="Yes"/>
    <n v="229"/>
    <n v="32"/>
    <n v="3"/>
    <s v="No"/>
    <s v="Yes"/>
    <x v="1"/>
    <x v="1"/>
    <n v="2020"/>
    <s v="Jun"/>
    <s v="31-35"/>
    <s v="130K+"/>
  </r>
  <r>
    <s v="E0904"/>
    <x v="1"/>
    <x v="26"/>
    <x v="4"/>
    <x v="5"/>
    <s v="Mid-Level"/>
    <n v="59568"/>
    <x v="782"/>
    <s v="Bachelor's"/>
    <x v="3"/>
    <s v="Married"/>
    <n v="2"/>
    <n v="2"/>
    <n v="4"/>
    <s v="Average"/>
    <s v="No"/>
    <n v="235"/>
    <n v="17"/>
    <n v="4"/>
    <s v="No"/>
    <s v="No"/>
    <x v="1"/>
    <x v="1"/>
    <n v="2026"/>
    <s v="May"/>
    <s v="36-40"/>
    <s v="40K-60K"/>
  </r>
  <r>
    <s v="E0905"/>
    <x v="1"/>
    <x v="8"/>
    <x v="6"/>
    <x v="22"/>
    <s v="Junior"/>
    <n v="38703"/>
    <x v="783"/>
    <s v="Diploma"/>
    <x v="0"/>
    <s v="Divorced"/>
    <n v="1"/>
    <n v="5"/>
    <n v="3"/>
    <s v="Good"/>
    <s v="No"/>
    <n v="166"/>
    <n v="49"/>
    <n v="25"/>
    <s v="No"/>
    <s v="Yes"/>
    <x v="1"/>
    <x v="1"/>
    <n v="2020"/>
    <s v="Sep"/>
    <s v="31-35"/>
    <s v="&lt;40K"/>
  </r>
  <r>
    <s v="E0906"/>
    <x v="0"/>
    <x v="14"/>
    <x v="1"/>
    <x v="11"/>
    <s v="Mid-Level"/>
    <n v="67533"/>
    <x v="784"/>
    <s v="MBA"/>
    <x v="0"/>
    <s v="Married"/>
    <n v="7"/>
    <n v="4"/>
    <n v="1"/>
    <s v="Good"/>
    <s v="Yes"/>
    <n v="179"/>
    <n v="75"/>
    <n v="12"/>
    <s v="No"/>
    <s v="No"/>
    <x v="0"/>
    <x v="0"/>
    <n v="2025"/>
    <s v="Jul"/>
    <s v="31-35"/>
    <s v="60K-90K"/>
  </r>
  <r>
    <s v="E0907"/>
    <x v="1"/>
    <x v="13"/>
    <x v="4"/>
    <x v="5"/>
    <s v="Mid-Level"/>
    <n v="48947"/>
    <x v="586"/>
    <s v="PhD"/>
    <x v="1"/>
    <s v="Married"/>
    <n v="2"/>
    <n v="1"/>
    <n v="2"/>
    <s v="Average"/>
    <s v="Yes"/>
    <n v="168"/>
    <n v="66"/>
    <n v="9"/>
    <s v="No"/>
    <s v="No"/>
    <x v="1"/>
    <x v="2"/>
    <n v="2021"/>
    <s v="Nov"/>
    <s v="21-25"/>
    <s v="40K-60K"/>
  </r>
  <r>
    <s v="E0908"/>
    <x v="1"/>
    <x v="6"/>
    <x v="0"/>
    <x v="9"/>
    <s v="Junior"/>
    <n v="42519"/>
    <x v="21"/>
    <s v="MBA"/>
    <x v="1"/>
    <s v="Married"/>
    <n v="0"/>
    <n v="4"/>
    <n v="5"/>
    <s v="Good"/>
    <s v="Yes"/>
    <n v="202"/>
    <n v="38"/>
    <n v="29"/>
    <s v="Yes"/>
    <s v="No"/>
    <x v="0"/>
    <x v="0"/>
    <n v="2023"/>
    <s v="Nov"/>
    <s v="36-40"/>
    <s v="40K-60K"/>
  </r>
  <r>
    <s v="E0909"/>
    <x v="0"/>
    <x v="2"/>
    <x v="1"/>
    <x v="11"/>
    <s v="Junior"/>
    <n v="36182"/>
    <x v="442"/>
    <s v="PhD"/>
    <x v="4"/>
    <s v="Married"/>
    <n v="0"/>
    <n v="1"/>
    <n v="5"/>
    <s v="Good"/>
    <s v="No"/>
    <n v="201"/>
    <n v="13"/>
    <n v="13"/>
    <s v="No"/>
    <s v="No"/>
    <x v="1"/>
    <x v="1"/>
    <n v="2020"/>
    <s v="May"/>
    <s v="36-40"/>
    <s v="&lt;40K"/>
  </r>
  <r>
    <s v="E0910"/>
    <x v="1"/>
    <x v="25"/>
    <x v="5"/>
    <x v="25"/>
    <s v="Mid-Level"/>
    <n v="50064"/>
    <x v="596"/>
    <s v="Bachelor's"/>
    <x v="5"/>
    <s v="Single"/>
    <n v="4"/>
    <n v="1"/>
    <n v="2"/>
    <s v="Low"/>
    <s v="No"/>
    <n v="209"/>
    <n v="9"/>
    <n v="8"/>
    <s v="Yes"/>
    <s v="No"/>
    <x v="0"/>
    <x v="0"/>
    <n v="2024"/>
    <s v="May"/>
    <s v="41-50"/>
    <s v="40K-60K"/>
  </r>
  <r>
    <s v="E0911"/>
    <x v="1"/>
    <x v="17"/>
    <x v="1"/>
    <x v="31"/>
    <s v="Manager"/>
    <n v="142250"/>
    <x v="774"/>
    <s v="Diploma"/>
    <x v="1"/>
    <s v="Divorced"/>
    <n v="12"/>
    <n v="4"/>
    <n v="2"/>
    <s v="Good"/>
    <s v="No"/>
    <n v="216"/>
    <n v="62"/>
    <n v="5"/>
    <s v="Yes"/>
    <s v="Yes"/>
    <x v="1"/>
    <x v="1"/>
    <n v="2020"/>
    <s v="Jan"/>
    <s v="26-30"/>
    <s v="130K+"/>
  </r>
  <r>
    <s v="E0912"/>
    <x v="0"/>
    <x v="8"/>
    <x v="3"/>
    <x v="15"/>
    <s v="Manager"/>
    <n v="101067"/>
    <x v="785"/>
    <s v="Master's"/>
    <x v="4"/>
    <s v="Single"/>
    <n v="11"/>
    <n v="1"/>
    <n v="4"/>
    <s v="Low"/>
    <s v="No"/>
    <n v="163"/>
    <n v="41"/>
    <n v="13"/>
    <s v="No"/>
    <s v="No"/>
    <x v="0"/>
    <x v="0"/>
    <n v="2024"/>
    <s v="Sep"/>
    <s v="31-35"/>
    <s v="90K-130K"/>
  </r>
  <r>
    <s v="E0913"/>
    <x v="1"/>
    <x v="8"/>
    <x v="7"/>
    <x v="20"/>
    <s v="Mid-Level"/>
    <n v="68248"/>
    <x v="664"/>
    <s v="Diploma"/>
    <x v="4"/>
    <s v="Married"/>
    <n v="5"/>
    <n v="1"/>
    <n v="2"/>
    <s v="Excellent"/>
    <s v="Yes"/>
    <n v="152"/>
    <n v="59"/>
    <n v="21"/>
    <s v="No"/>
    <s v="No"/>
    <x v="0"/>
    <x v="0"/>
    <n v="2020"/>
    <s v="Dec"/>
    <s v="31-35"/>
    <s v="60K-90K"/>
  </r>
  <r>
    <s v="E0914"/>
    <x v="1"/>
    <x v="5"/>
    <x v="0"/>
    <x v="9"/>
    <s v="Junior"/>
    <n v="28179"/>
    <x v="234"/>
    <s v="PhD"/>
    <x v="7"/>
    <s v="Married"/>
    <n v="2"/>
    <n v="2"/>
    <n v="5"/>
    <s v="Average"/>
    <s v="No"/>
    <n v="170"/>
    <n v="15"/>
    <n v="13"/>
    <s v="No"/>
    <s v="No"/>
    <x v="1"/>
    <x v="1"/>
    <n v="2021"/>
    <s v="Mar"/>
    <s v="41-50"/>
    <s v="&lt;40K"/>
  </r>
  <r>
    <s v="E0915"/>
    <x v="0"/>
    <x v="1"/>
    <x v="6"/>
    <x v="24"/>
    <s v="Junior"/>
    <n v="29051"/>
    <x v="786"/>
    <s v="Diploma"/>
    <x v="5"/>
    <s v="Single"/>
    <n v="0"/>
    <n v="4"/>
    <n v="4"/>
    <s v="Low"/>
    <s v="No"/>
    <n v="162"/>
    <n v="11"/>
    <n v="16"/>
    <s v="No"/>
    <s v="No"/>
    <x v="1"/>
    <x v="2"/>
    <n v="2021"/>
    <s v="Dec"/>
    <s v="31-35"/>
    <s v="&lt;40K"/>
  </r>
  <r>
    <s v="E0916"/>
    <x v="1"/>
    <x v="8"/>
    <x v="2"/>
    <x v="30"/>
    <s v="Junior"/>
    <n v="28643"/>
    <x v="787"/>
    <s v="MBA"/>
    <x v="0"/>
    <s v="Divorced"/>
    <n v="2"/>
    <n v="2"/>
    <n v="5"/>
    <s v="Low"/>
    <s v="No"/>
    <n v="158"/>
    <n v="45"/>
    <n v="27"/>
    <s v="Yes"/>
    <s v="No"/>
    <x v="1"/>
    <x v="1"/>
    <n v="2025"/>
    <s v="Jul"/>
    <s v="31-35"/>
    <s v="&lt;40K"/>
  </r>
  <r>
    <s v="E0917"/>
    <x v="1"/>
    <x v="2"/>
    <x v="0"/>
    <x v="0"/>
    <s v="Manager"/>
    <n v="141773"/>
    <x v="788"/>
    <s v="Diploma"/>
    <x v="6"/>
    <s v="Divorced"/>
    <n v="20"/>
    <n v="5"/>
    <n v="4"/>
    <s v="Low"/>
    <s v="No"/>
    <n v="178"/>
    <n v="58"/>
    <n v="14"/>
    <s v="No"/>
    <s v="Yes"/>
    <x v="1"/>
    <x v="1"/>
    <n v="2025"/>
    <s v="Oct"/>
    <s v="36-40"/>
    <s v="130K+"/>
  </r>
  <r>
    <s v="E0918"/>
    <x v="0"/>
    <x v="8"/>
    <x v="4"/>
    <x v="18"/>
    <s v="Junior"/>
    <n v="32864"/>
    <x v="550"/>
    <s v="Master's"/>
    <x v="4"/>
    <s v="Married"/>
    <n v="1"/>
    <n v="3"/>
    <n v="1"/>
    <s v="Average"/>
    <s v="No"/>
    <n v="211"/>
    <n v="31"/>
    <n v="25"/>
    <s v="No"/>
    <s v="No"/>
    <x v="1"/>
    <x v="1"/>
    <n v="2024"/>
    <s v="Jun"/>
    <s v="31-35"/>
    <s v="&lt;40K"/>
  </r>
  <r>
    <s v="E0919"/>
    <x v="0"/>
    <x v="7"/>
    <x v="7"/>
    <x v="29"/>
    <s v="Junior"/>
    <n v="36654"/>
    <x v="506"/>
    <s v="Diploma"/>
    <x v="3"/>
    <s v="Single"/>
    <n v="1"/>
    <n v="2"/>
    <n v="1"/>
    <s v="Low"/>
    <s v="Yes"/>
    <n v="209"/>
    <n v="57"/>
    <n v="3"/>
    <s v="Yes"/>
    <s v="Yes"/>
    <x v="1"/>
    <x v="1"/>
    <n v="2023"/>
    <s v="Oct"/>
    <s v="26-30"/>
    <s v="&lt;40K"/>
  </r>
  <r>
    <s v="E0920"/>
    <x v="1"/>
    <x v="8"/>
    <x v="2"/>
    <x v="23"/>
    <s v="Mid-Level"/>
    <n v="54103"/>
    <x v="789"/>
    <s v="Bachelor's"/>
    <x v="1"/>
    <s v="Married"/>
    <n v="7"/>
    <n v="5"/>
    <n v="5"/>
    <s v="Low"/>
    <s v="No"/>
    <n v="214"/>
    <n v="73"/>
    <n v="18"/>
    <s v="No"/>
    <s v="No"/>
    <x v="1"/>
    <x v="1"/>
    <n v="2025"/>
    <s v="Nov"/>
    <s v="31-35"/>
    <s v="40K-60K"/>
  </r>
  <r>
    <s v="E0921"/>
    <x v="0"/>
    <x v="20"/>
    <x v="2"/>
    <x v="2"/>
    <s v="Senior"/>
    <n v="84930"/>
    <x v="26"/>
    <s v="PhD"/>
    <x v="4"/>
    <s v="Married"/>
    <n v="13"/>
    <n v="2"/>
    <n v="1"/>
    <s v="Low"/>
    <s v="No"/>
    <n v="195"/>
    <n v="74"/>
    <n v="7"/>
    <s v="Yes"/>
    <s v="No"/>
    <x v="1"/>
    <x v="1"/>
    <n v="2020"/>
    <s v="Jul"/>
    <s v="36-40"/>
    <s v="60K-90K"/>
  </r>
  <r>
    <s v="E0922"/>
    <x v="1"/>
    <x v="10"/>
    <x v="0"/>
    <x v="16"/>
    <s v="Manager"/>
    <n v="131969"/>
    <x v="790"/>
    <s v="PhD"/>
    <x v="1"/>
    <s v="Divorced"/>
    <n v="15"/>
    <n v="1"/>
    <n v="2"/>
    <s v="Low"/>
    <s v="Yes"/>
    <n v="198"/>
    <n v="25"/>
    <n v="18"/>
    <s v="No"/>
    <s v="Yes"/>
    <x v="1"/>
    <x v="1"/>
    <n v="2026"/>
    <s v="Jun"/>
    <s v="21-25"/>
    <s v="130K+"/>
  </r>
  <r>
    <s v="E0923"/>
    <x v="0"/>
    <x v="14"/>
    <x v="4"/>
    <x v="19"/>
    <s v="Manager"/>
    <n v="141393"/>
    <x v="791"/>
    <s v="Bachelor's"/>
    <x v="2"/>
    <s v="Single"/>
    <n v="17"/>
    <n v="4"/>
    <n v="1"/>
    <s v="Excellent"/>
    <s v="No"/>
    <n v="155"/>
    <n v="19"/>
    <n v="13"/>
    <s v="No"/>
    <s v="No"/>
    <x v="1"/>
    <x v="1"/>
    <n v="2026"/>
    <s v="Jul"/>
    <s v="31-35"/>
    <s v="130K+"/>
  </r>
  <r>
    <s v="E0924"/>
    <x v="1"/>
    <x v="16"/>
    <x v="1"/>
    <x v="14"/>
    <s v="Manager"/>
    <n v="127239"/>
    <x v="792"/>
    <s v="PhD"/>
    <x v="7"/>
    <s v="Single"/>
    <n v="18"/>
    <n v="5"/>
    <n v="2"/>
    <s v="Good"/>
    <s v="No"/>
    <n v="242"/>
    <n v="10"/>
    <n v="30"/>
    <s v="No"/>
    <s v="No"/>
    <x v="1"/>
    <x v="2"/>
    <n v="2025"/>
    <s v="Mar"/>
    <s v="26-30"/>
    <s v="90K-130K"/>
  </r>
  <r>
    <s v="E0925"/>
    <x v="1"/>
    <x v="26"/>
    <x v="4"/>
    <x v="18"/>
    <s v="Mid-Level"/>
    <n v="65604"/>
    <x v="793"/>
    <s v="PhD"/>
    <x v="5"/>
    <s v="Single"/>
    <n v="4"/>
    <n v="4"/>
    <n v="1"/>
    <s v="Good"/>
    <s v="No"/>
    <n v="207"/>
    <n v="18"/>
    <n v="14"/>
    <s v="Yes"/>
    <s v="No"/>
    <x v="1"/>
    <x v="1"/>
    <n v="2025"/>
    <s v="Nov"/>
    <s v="36-40"/>
    <s v="60K-90K"/>
  </r>
  <r>
    <s v="E0926"/>
    <x v="1"/>
    <x v="9"/>
    <x v="1"/>
    <x v="1"/>
    <s v="Senior"/>
    <n v="100561"/>
    <x v="794"/>
    <s v="PhD"/>
    <x v="0"/>
    <s v="Divorced"/>
    <n v="13"/>
    <n v="1"/>
    <n v="5"/>
    <s v="Low"/>
    <s v="No"/>
    <n v="251"/>
    <n v="60"/>
    <n v="6"/>
    <s v="No"/>
    <s v="No"/>
    <x v="1"/>
    <x v="2"/>
    <n v="2020"/>
    <s v="May"/>
    <s v="21-25"/>
    <s v="90K-130K"/>
  </r>
  <r>
    <s v="E0927"/>
    <x v="1"/>
    <x v="7"/>
    <x v="6"/>
    <x v="24"/>
    <s v="Junior"/>
    <n v="41923"/>
    <x v="795"/>
    <s v="Bachelor's"/>
    <x v="0"/>
    <s v="Married"/>
    <n v="0"/>
    <n v="1"/>
    <n v="1"/>
    <s v="Average"/>
    <s v="No"/>
    <n v="159"/>
    <n v="31"/>
    <n v="24"/>
    <s v="No"/>
    <s v="No"/>
    <x v="1"/>
    <x v="1"/>
    <n v="2025"/>
    <s v="Dec"/>
    <s v="26-30"/>
    <s v="40K-60K"/>
  </r>
  <r>
    <s v="E0928"/>
    <x v="0"/>
    <x v="11"/>
    <x v="1"/>
    <x v="1"/>
    <s v="Manager"/>
    <n v="90055"/>
    <x v="796"/>
    <s v="Bachelor's"/>
    <x v="3"/>
    <s v="Married"/>
    <n v="13"/>
    <n v="2"/>
    <n v="1"/>
    <s v="Good"/>
    <s v="No"/>
    <n v="191"/>
    <n v="43"/>
    <n v="17"/>
    <s v="Yes"/>
    <s v="Yes"/>
    <x v="1"/>
    <x v="1"/>
    <n v="2021"/>
    <s v="Feb"/>
    <s v="31-35"/>
    <s v="90K-130K"/>
  </r>
  <r>
    <s v="E0929"/>
    <x v="0"/>
    <x v="3"/>
    <x v="2"/>
    <x v="2"/>
    <s v="Senior"/>
    <n v="107617"/>
    <x v="797"/>
    <s v="Bachelor's"/>
    <x v="6"/>
    <s v="Divorced"/>
    <n v="5"/>
    <n v="3"/>
    <n v="3"/>
    <s v="Excellent"/>
    <s v="Yes"/>
    <n v="250"/>
    <n v="13"/>
    <n v="26"/>
    <s v="No"/>
    <s v="No"/>
    <x v="1"/>
    <x v="1"/>
    <n v="2021"/>
    <s v="Mar"/>
    <s v="41-50"/>
    <s v="90K-130K"/>
  </r>
  <r>
    <s v="E0930"/>
    <x v="1"/>
    <x v="1"/>
    <x v="0"/>
    <x v="10"/>
    <s v="Manager"/>
    <n v="150519"/>
    <x v="798"/>
    <s v="Bachelor's"/>
    <x v="0"/>
    <s v="Married"/>
    <n v="16"/>
    <n v="1"/>
    <n v="3"/>
    <s v="Average"/>
    <s v="Yes"/>
    <n v="206"/>
    <n v="55"/>
    <n v="22"/>
    <s v="No"/>
    <s v="No"/>
    <x v="1"/>
    <x v="1"/>
    <n v="2020"/>
    <s v="Aug"/>
    <s v="31-35"/>
    <s v="130K+"/>
  </r>
  <r>
    <s v="E0931"/>
    <x v="1"/>
    <x v="7"/>
    <x v="1"/>
    <x v="1"/>
    <s v="Manager"/>
    <n v="130844"/>
    <x v="799"/>
    <s v="Diploma"/>
    <x v="2"/>
    <s v="Married"/>
    <n v="16"/>
    <n v="5"/>
    <n v="3"/>
    <s v="Low"/>
    <s v="No"/>
    <n v="260"/>
    <n v="19"/>
    <n v="5"/>
    <s v="No"/>
    <s v="Yes"/>
    <x v="1"/>
    <x v="1"/>
    <n v="2023"/>
    <s v="Apr"/>
    <s v="26-30"/>
    <s v="130K+"/>
  </r>
  <r>
    <s v="E0932"/>
    <x v="0"/>
    <x v="23"/>
    <x v="0"/>
    <x v="16"/>
    <s v="Senior"/>
    <n v="81147"/>
    <x v="800"/>
    <s v="Bachelor's"/>
    <x v="0"/>
    <s v="Divorced"/>
    <n v="11"/>
    <n v="3"/>
    <n v="1"/>
    <s v="Excellent"/>
    <s v="Yes"/>
    <n v="210"/>
    <n v="31"/>
    <n v="15"/>
    <s v="No"/>
    <s v="Yes"/>
    <x v="1"/>
    <x v="1"/>
    <n v="2019"/>
    <s v="Jul"/>
    <s v="41-50"/>
    <s v="60K-90K"/>
  </r>
  <r>
    <s v="E0933"/>
    <x v="1"/>
    <x v="9"/>
    <x v="6"/>
    <x v="7"/>
    <s v="Senior"/>
    <n v="86473"/>
    <x v="801"/>
    <s v="Diploma"/>
    <x v="2"/>
    <s v="Single"/>
    <n v="10"/>
    <n v="1"/>
    <n v="4"/>
    <s v="Good"/>
    <s v="No"/>
    <n v="150"/>
    <n v="72"/>
    <n v="20"/>
    <s v="No"/>
    <s v="Yes"/>
    <x v="0"/>
    <x v="0"/>
    <n v="2025"/>
    <s v="Sep"/>
    <s v="21-25"/>
    <s v="60K-90K"/>
  </r>
  <r>
    <s v="E0934"/>
    <x v="0"/>
    <x v="9"/>
    <x v="0"/>
    <x v="0"/>
    <s v="Manager"/>
    <n v="139157"/>
    <x v="802"/>
    <s v="MBA"/>
    <x v="7"/>
    <s v="Married"/>
    <n v="18"/>
    <n v="5"/>
    <n v="5"/>
    <s v="Average"/>
    <s v="No"/>
    <n v="205"/>
    <n v="6"/>
    <n v="28"/>
    <s v="No"/>
    <s v="No"/>
    <x v="1"/>
    <x v="1"/>
    <n v="2022"/>
    <s v="Jan"/>
    <s v="21-25"/>
    <s v="130K+"/>
  </r>
  <r>
    <s v="E0935"/>
    <x v="1"/>
    <x v="0"/>
    <x v="3"/>
    <x v="4"/>
    <s v="Manager"/>
    <n v="134553"/>
    <x v="332"/>
    <s v="Master's"/>
    <x v="5"/>
    <s v="Married"/>
    <n v="16"/>
    <n v="5"/>
    <n v="4"/>
    <s v="Average"/>
    <s v="No"/>
    <n v="248"/>
    <n v="36"/>
    <n v="29"/>
    <s v="No"/>
    <s v="No"/>
    <x v="1"/>
    <x v="1"/>
    <n v="2019"/>
    <s v="Apr"/>
    <s v="31-35"/>
    <s v="130K+"/>
  </r>
  <r>
    <s v="E0936"/>
    <x v="1"/>
    <x v="7"/>
    <x v="4"/>
    <x v="19"/>
    <s v="Mid-Level"/>
    <n v="67245"/>
    <x v="803"/>
    <s v="MBA"/>
    <x v="0"/>
    <s v="Single"/>
    <n v="5"/>
    <n v="3"/>
    <n v="1"/>
    <s v="Low"/>
    <s v="Yes"/>
    <n v="200"/>
    <n v="59"/>
    <n v="7"/>
    <s v="Yes"/>
    <s v="No"/>
    <x v="1"/>
    <x v="1"/>
    <n v="2022"/>
    <s v="Oct"/>
    <s v="26-30"/>
    <s v="60K-90K"/>
  </r>
  <r>
    <s v="E0937"/>
    <x v="0"/>
    <x v="10"/>
    <x v="6"/>
    <x v="22"/>
    <s v="Mid-Level"/>
    <n v="66970"/>
    <x v="804"/>
    <s v="Diploma"/>
    <x v="1"/>
    <s v="Married"/>
    <n v="5"/>
    <n v="4"/>
    <n v="4"/>
    <s v="Low"/>
    <s v="No"/>
    <n v="201"/>
    <n v="18"/>
    <n v="4"/>
    <s v="Yes"/>
    <s v="No"/>
    <x v="1"/>
    <x v="1"/>
    <n v="2023"/>
    <s v="Oct"/>
    <s v="21-25"/>
    <s v="60K-90K"/>
  </r>
  <r>
    <s v="E0938"/>
    <x v="0"/>
    <x v="2"/>
    <x v="2"/>
    <x v="30"/>
    <s v="Senior"/>
    <n v="99957"/>
    <x v="805"/>
    <s v="Diploma"/>
    <x v="7"/>
    <s v="Married"/>
    <n v="13"/>
    <n v="4"/>
    <n v="1"/>
    <s v="Excellent"/>
    <s v="Yes"/>
    <n v="247"/>
    <n v="76"/>
    <n v="6"/>
    <s v="Yes"/>
    <s v="Yes"/>
    <x v="0"/>
    <x v="0"/>
    <n v="2026"/>
    <s v="Mar"/>
    <s v="36-40"/>
    <s v="90K-130K"/>
  </r>
  <r>
    <s v="E0939"/>
    <x v="0"/>
    <x v="8"/>
    <x v="6"/>
    <x v="22"/>
    <s v="Manager"/>
    <n v="91785"/>
    <x v="806"/>
    <s v="PhD"/>
    <x v="1"/>
    <s v="Single"/>
    <n v="20"/>
    <n v="4"/>
    <n v="2"/>
    <s v="Low"/>
    <s v="No"/>
    <n v="202"/>
    <n v="26"/>
    <n v="3"/>
    <s v="Yes"/>
    <s v="No"/>
    <x v="1"/>
    <x v="1"/>
    <n v="2022"/>
    <s v="Jan"/>
    <s v="31-35"/>
    <s v="90K-130K"/>
  </r>
  <r>
    <s v="E0940"/>
    <x v="0"/>
    <x v="7"/>
    <x v="7"/>
    <x v="20"/>
    <s v="Mid-Level"/>
    <n v="56092"/>
    <x v="807"/>
    <s v="Master's"/>
    <x v="4"/>
    <s v="Married"/>
    <n v="4"/>
    <n v="4"/>
    <n v="5"/>
    <s v="Average"/>
    <s v="Yes"/>
    <n v="209"/>
    <n v="44"/>
    <n v="6"/>
    <s v="Yes"/>
    <s v="No"/>
    <x v="1"/>
    <x v="1"/>
    <n v="2025"/>
    <s v="Aug"/>
    <s v="26-30"/>
    <s v="40K-60K"/>
  </r>
  <r>
    <s v="E0941"/>
    <x v="1"/>
    <x v="15"/>
    <x v="5"/>
    <x v="6"/>
    <s v="Senior"/>
    <n v="68089"/>
    <x v="229"/>
    <s v="PhD"/>
    <x v="4"/>
    <s v="Divorced"/>
    <n v="5"/>
    <n v="4"/>
    <n v="3"/>
    <s v="Average"/>
    <s v="No"/>
    <n v="233"/>
    <n v="30"/>
    <n v="29"/>
    <s v="Yes"/>
    <s v="No"/>
    <x v="1"/>
    <x v="1"/>
    <n v="2026"/>
    <s v="Jul"/>
    <s v="21-25"/>
    <s v="60K-90K"/>
  </r>
  <r>
    <s v="E0942"/>
    <x v="0"/>
    <x v="21"/>
    <x v="1"/>
    <x v="14"/>
    <s v="Manager"/>
    <n v="127416"/>
    <x v="808"/>
    <s v="PhD"/>
    <x v="0"/>
    <s v="Single"/>
    <n v="20"/>
    <n v="5"/>
    <n v="4"/>
    <s v="Good"/>
    <s v="No"/>
    <n v="229"/>
    <n v="26"/>
    <n v="17"/>
    <s v="Yes"/>
    <s v="Yes"/>
    <x v="1"/>
    <x v="1"/>
    <n v="2025"/>
    <s v="Jan"/>
    <s v="36-40"/>
    <s v="90K-130K"/>
  </r>
  <r>
    <s v="E0943"/>
    <x v="0"/>
    <x v="2"/>
    <x v="4"/>
    <x v="19"/>
    <s v="Junior"/>
    <n v="43556"/>
    <x v="809"/>
    <s v="Bachelor's"/>
    <x v="2"/>
    <s v="Married"/>
    <n v="2"/>
    <n v="5"/>
    <n v="1"/>
    <s v="Average"/>
    <s v="Yes"/>
    <n v="227"/>
    <n v="9"/>
    <n v="14"/>
    <s v="No"/>
    <s v="No"/>
    <x v="1"/>
    <x v="1"/>
    <n v="2019"/>
    <s v="Feb"/>
    <s v="36-40"/>
    <s v="40K-60K"/>
  </r>
  <r>
    <s v="E0944"/>
    <x v="1"/>
    <x v="1"/>
    <x v="6"/>
    <x v="22"/>
    <s v="Mid-Level"/>
    <n v="52846"/>
    <x v="810"/>
    <s v="PhD"/>
    <x v="6"/>
    <s v="Married"/>
    <n v="3"/>
    <n v="1"/>
    <n v="1"/>
    <s v="Good"/>
    <s v="No"/>
    <n v="250"/>
    <n v="70"/>
    <n v="30"/>
    <s v="Yes"/>
    <s v="Yes"/>
    <x v="1"/>
    <x v="2"/>
    <n v="2022"/>
    <s v="Jun"/>
    <s v="31-35"/>
    <s v="40K-60K"/>
  </r>
  <r>
    <s v="E0945"/>
    <x v="1"/>
    <x v="18"/>
    <x v="6"/>
    <x v="22"/>
    <s v="Senior"/>
    <n v="81671"/>
    <x v="623"/>
    <s v="MBA"/>
    <x v="1"/>
    <s v="Married"/>
    <n v="10"/>
    <n v="3"/>
    <n v="4"/>
    <s v="Average"/>
    <s v="Yes"/>
    <n v="255"/>
    <n v="62"/>
    <n v="24"/>
    <s v="No"/>
    <s v="No"/>
    <x v="1"/>
    <x v="1"/>
    <n v="2021"/>
    <s v="Dec"/>
    <s v="41-50"/>
    <s v="60K-90K"/>
  </r>
  <r>
    <s v="E0946"/>
    <x v="0"/>
    <x v="10"/>
    <x v="3"/>
    <x v="21"/>
    <s v="Junior"/>
    <n v="32819"/>
    <x v="47"/>
    <s v="Diploma"/>
    <x v="7"/>
    <s v="Divorced"/>
    <n v="3"/>
    <n v="5"/>
    <n v="3"/>
    <s v="Average"/>
    <s v="No"/>
    <n v="244"/>
    <n v="12"/>
    <n v="11"/>
    <s v="No"/>
    <s v="No"/>
    <x v="1"/>
    <x v="2"/>
    <n v="2024"/>
    <s v="Aug"/>
    <s v="21-25"/>
    <s v="&lt;40K"/>
  </r>
  <r>
    <s v="E0947"/>
    <x v="0"/>
    <x v="9"/>
    <x v="7"/>
    <x v="29"/>
    <s v="Senior"/>
    <n v="94452"/>
    <x v="811"/>
    <s v="Diploma"/>
    <x v="7"/>
    <s v="Divorced"/>
    <n v="7"/>
    <n v="4"/>
    <n v="2"/>
    <s v="Good"/>
    <s v="Yes"/>
    <n v="253"/>
    <n v="27"/>
    <n v="10"/>
    <s v="Yes"/>
    <s v="Yes"/>
    <x v="1"/>
    <x v="1"/>
    <n v="2021"/>
    <s v="Nov"/>
    <s v="21-25"/>
    <s v="90K-130K"/>
  </r>
  <r>
    <s v="E0948"/>
    <x v="0"/>
    <x v="16"/>
    <x v="7"/>
    <x v="8"/>
    <s v="Mid-Level"/>
    <n v="49807"/>
    <x v="214"/>
    <s v="Master's"/>
    <x v="0"/>
    <s v="Single"/>
    <n v="6"/>
    <n v="2"/>
    <n v="1"/>
    <s v="Low"/>
    <s v="No"/>
    <n v="234"/>
    <n v="78"/>
    <n v="19"/>
    <s v="Yes"/>
    <s v="No"/>
    <x v="0"/>
    <x v="0"/>
    <n v="2020"/>
    <s v="Feb"/>
    <s v="26-30"/>
    <s v="40K-60K"/>
  </r>
  <r>
    <s v="E0949"/>
    <x v="0"/>
    <x v="1"/>
    <x v="6"/>
    <x v="7"/>
    <s v="Junior"/>
    <n v="31832"/>
    <x v="812"/>
    <s v="PhD"/>
    <x v="6"/>
    <s v="Married"/>
    <n v="0"/>
    <n v="2"/>
    <n v="2"/>
    <s v="Excellent"/>
    <s v="Yes"/>
    <n v="152"/>
    <n v="19"/>
    <n v="3"/>
    <s v="Yes"/>
    <s v="Yes"/>
    <x v="1"/>
    <x v="2"/>
    <n v="2021"/>
    <s v="Jan"/>
    <s v="31-35"/>
    <s v="&lt;40K"/>
  </r>
  <r>
    <s v="E0950"/>
    <x v="1"/>
    <x v="8"/>
    <x v="2"/>
    <x v="23"/>
    <s v="Junior"/>
    <n v="37682"/>
    <x v="62"/>
    <s v="MBA"/>
    <x v="4"/>
    <s v="Divorced"/>
    <n v="1"/>
    <n v="4"/>
    <n v="1"/>
    <s v="Average"/>
    <s v="No"/>
    <n v="157"/>
    <n v="15"/>
    <n v="20"/>
    <s v="No"/>
    <s v="No"/>
    <x v="1"/>
    <x v="1"/>
    <n v="2023"/>
    <s v="Mar"/>
    <s v="31-35"/>
    <s v="&lt;40K"/>
  </r>
  <r>
    <s v="E0951"/>
    <x v="1"/>
    <x v="4"/>
    <x v="5"/>
    <x v="25"/>
    <s v="Mid-Level"/>
    <n v="48389"/>
    <x v="813"/>
    <s v="Master's"/>
    <x v="5"/>
    <s v="Married"/>
    <n v="4"/>
    <n v="4"/>
    <n v="5"/>
    <s v="Excellent"/>
    <s v="No"/>
    <n v="256"/>
    <n v="28"/>
    <n v="2"/>
    <s v="No"/>
    <s v="Yes"/>
    <x v="0"/>
    <x v="0"/>
    <n v="2022"/>
    <s v="Jun"/>
    <s v="26-30"/>
    <s v="40K-60K"/>
  </r>
  <r>
    <s v="E0952"/>
    <x v="1"/>
    <x v="11"/>
    <x v="3"/>
    <x v="4"/>
    <s v="Manager"/>
    <n v="99769"/>
    <x v="342"/>
    <s v="Bachelor's"/>
    <x v="1"/>
    <s v="Single"/>
    <n v="13"/>
    <n v="1"/>
    <n v="4"/>
    <s v="Excellent"/>
    <s v="No"/>
    <n v="235"/>
    <n v="52"/>
    <n v="11"/>
    <s v="Yes"/>
    <s v="No"/>
    <x v="1"/>
    <x v="1"/>
    <n v="2019"/>
    <s v="Mar"/>
    <s v="31-35"/>
    <s v="90K-130K"/>
  </r>
  <r>
    <s v="E0953"/>
    <x v="0"/>
    <x v="15"/>
    <x v="5"/>
    <x v="28"/>
    <s v="Manager"/>
    <n v="132458"/>
    <x v="296"/>
    <s v="Diploma"/>
    <x v="5"/>
    <s v="Married"/>
    <n v="9"/>
    <n v="5"/>
    <n v="5"/>
    <s v="Average"/>
    <s v="No"/>
    <n v="248"/>
    <n v="60"/>
    <n v="15"/>
    <s v="No"/>
    <s v="No"/>
    <x v="0"/>
    <x v="0"/>
    <n v="2023"/>
    <s v="Jun"/>
    <s v="21-25"/>
    <s v="130K+"/>
  </r>
  <r>
    <s v="E0954"/>
    <x v="0"/>
    <x v="3"/>
    <x v="5"/>
    <x v="13"/>
    <s v="Manager"/>
    <n v="143117"/>
    <x v="476"/>
    <s v="Diploma"/>
    <x v="1"/>
    <s v="Married"/>
    <n v="10"/>
    <n v="5"/>
    <n v="4"/>
    <s v="Excellent"/>
    <s v="Yes"/>
    <n v="217"/>
    <n v="14"/>
    <n v="13"/>
    <s v="Yes"/>
    <s v="No"/>
    <x v="1"/>
    <x v="1"/>
    <n v="2023"/>
    <s v="May"/>
    <s v="41-50"/>
    <s v="130K+"/>
  </r>
  <r>
    <s v="E0955"/>
    <x v="1"/>
    <x v="1"/>
    <x v="6"/>
    <x v="22"/>
    <s v="Manager"/>
    <n v="100162"/>
    <x v="814"/>
    <s v="Bachelor's"/>
    <x v="3"/>
    <s v="Married"/>
    <n v="17"/>
    <n v="4"/>
    <n v="1"/>
    <s v="Good"/>
    <s v="No"/>
    <n v="226"/>
    <n v="63"/>
    <n v="29"/>
    <s v="No"/>
    <s v="No"/>
    <x v="0"/>
    <x v="0"/>
    <n v="2024"/>
    <s v="Feb"/>
    <s v="31-35"/>
    <s v="90K-130K"/>
  </r>
  <r>
    <s v="E0956"/>
    <x v="0"/>
    <x v="20"/>
    <x v="4"/>
    <x v="27"/>
    <s v="Senior"/>
    <n v="70155"/>
    <x v="815"/>
    <s v="Diploma"/>
    <x v="4"/>
    <s v="Single"/>
    <n v="13"/>
    <n v="5"/>
    <n v="3"/>
    <s v="Excellent"/>
    <s v="Yes"/>
    <n v="159"/>
    <n v="67"/>
    <n v="16"/>
    <s v="No"/>
    <s v="No"/>
    <x v="1"/>
    <x v="1"/>
    <n v="2019"/>
    <s v="Jan"/>
    <s v="36-40"/>
    <s v="60K-90K"/>
  </r>
  <r>
    <s v="E0957"/>
    <x v="0"/>
    <x v="11"/>
    <x v="7"/>
    <x v="20"/>
    <s v="Manager"/>
    <n v="114232"/>
    <x v="201"/>
    <s v="Diploma"/>
    <x v="7"/>
    <s v="Single"/>
    <n v="20"/>
    <n v="1"/>
    <n v="5"/>
    <s v="Excellent"/>
    <s v="No"/>
    <n v="252"/>
    <n v="39"/>
    <n v="7"/>
    <s v="Yes"/>
    <s v="No"/>
    <x v="1"/>
    <x v="1"/>
    <n v="2019"/>
    <s v="Nov"/>
    <s v="31-35"/>
    <s v="90K-130K"/>
  </r>
  <r>
    <s v="E0958"/>
    <x v="1"/>
    <x v="0"/>
    <x v="3"/>
    <x v="15"/>
    <s v="Manager"/>
    <n v="96998"/>
    <x v="816"/>
    <s v="MBA"/>
    <x v="6"/>
    <s v="Single"/>
    <n v="20"/>
    <n v="3"/>
    <n v="3"/>
    <s v="Good"/>
    <s v="Yes"/>
    <n v="163"/>
    <n v="60"/>
    <n v="26"/>
    <s v="No"/>
    <s v="No"/>
    <x v="1"/>
    <x v="1"/>
    <n v="2021"/>
    <s v="Dec"/>
    <s v="31-35"/>
    <s v="90K-130K"/>
  </r>
  <r>
    <s v="E0959"/>
    <x v="0"/>
    <x v="0"/>
    <x v="6"/>
    <x v="26"/>
    <s v="Senior"/>
    <n v="97567"/>
    <x v="717"/>
    <s v="MBA"/>
    <x v="7"/>
    <s v="Married"/>
    <n v="5"/>
    <n v="1"/>
    <n v="1"/>
    <s v="Low"/>
    <s v="Yes"/>
    <n v="230"/>
    <n v="63"/>
    <n v="7"/>
    <s v="Yes"/>
    <s v="No"/>
    <x v="0"/>
    <x v="0"/>
    <n v="2025"/>
    <s v="Jun"/>
    <s v="31-35"/>
    <s v="90K-130K"/>
  </r>
  <r>
    <s v="E0960"/>
    <x v="0"/>
    <x v="0"/>
    <x v="5"/>
    <x v="25"/>
    <s v="Mid-Level"/>
    <n v="58485"/>
    <x v="817"/>
    <s v="Bachelor's"/>
    <x v="6"/>
    <s v="Divorced"/>
    <n v="3"/>
    <n v="5"/>
    <n v="3"/>
    <s v="Average"/>
    <s v="No"/>
    <n v="250"/>
    <n v="25"/>
    <n v="24"/>
    <s v="No"/>
    <s v="No"/>
    <x v="0"/>
    <x v="0"/>
    <n v="2025"/>
    <s v="Apr"/>
    <s v="31-35"/>
    <s v="40K-60K"/>
  </r>
  <r>
    <s v="E0961"/>
    <x v="1"/>
    <x v="2"/>
    <x v="1"/>
    <x v="31"/>
    <s v="Mid-Level"/>
    <n v="55752"/>
    <x v="818"/>
    <s v="MBA"/>
    <x v="5"/>
    <s v="Single"/>
    <n v="2"/>
    <n v="5"/>
    <n v="3"/>
    <s v="Low"/>
    <s v="Yes"/>
    <n v="211"/>
    <n v="78"/>
    <n v="13"/>
    <s v="Yes"/>
    <s v="Yes"/>
    <x v="0"/>
    <x v="0"/>
    <n v="2023"/>
    <s v="May"/>
    <s v="36-40"/>
    <s v="40K-60K"/>
  </r>
  <r>
    <s v="E0962"/>
    <x v="0"/>
    <x v="22"/>
    <x v="7"/>
    <x v="29"/>
    <s v="Junior"/>
    <n v="38321"/>
    <x v="819"/>
    <s v="PhD"/>
    <x v="5"/>
    <s v="Divorced"/>
    <n v="1"/>
    <n v="1"/>
    <n v="1"/>
    <s v="Average"/>
    <s v="No"/>
    <n v="196"/>
    <n v="30"/>
    <n v="3"/>
    <s v="Yes"/>
    <s v="No"/>
    <x v="1"/>
    <x v="2"/>
    <n v="2023"/>
    <s v="Oct"/>
    <s v="41-50"/>
    <s v="&lt;40K"/>
  </r>
  <r>
    <s v="E0963"/>
    <x v="0"/>
    <x v="8"/>
    <x v="4"/>
    <x v="5"/>
    <s v="Junior"/>
    <n v="28150"/>
    <x v="820"/>
    <s v="MBA"/>
    <x v="2"/>
    <s v="Single"/>
    <n v="3"/>
    <n v="1"/>
    <n v="5"/>
    <s v="Average"/>
    <s v="No"/>
    <n v="250"/>
    <n v="77"/>
    <n v="18"/>
    <s v="No"/>
    <s v="No"/>
    <x v="1"/>
    <x v="2"/>
    <n v="2021"/>
    <s v="Nov"/>
    <s v="31-35"/>
    <s v="&lt;40K"/>
  </r>
  <r>
    <s v="E0964"/>
    <x v="0"/>
    <x v="2"/>
    <x v="4"/>
    <x v="5"/>
    <s v="Mid-Level"/>
    <n v="61502"/>
    <x v="565"/>
    <s v="Diploma"/>
    <x v="3"/>
    <s v="Married"/>
    <n v="4"/>
    <n v="4"/>
    <n v="1"/>
    <s v="Average"/>
    <s v="No"/>
    <n v="257"/>
    <n v="44"/>
    <n v="27"/>
    <s v="No"/>
    <s v="Yes"/>
    <x v="1"/>
    <x v="1"/>
    <n v="2022"/>
    <s v="Feb"/>
    <s v="36-40"/>
    <s v="60K-90K"/>
  </r>
  <r>
    <s v="E0965"/>
    <x v="0"/>
    <x v="1"/>
    <x v="2"/>
    <x v="23"/>
    <s v="Senior"/>
    <n v="86776"/>
    <x v="821"/>
    <s v="Master's"/>
    <x v="1"/>
    <s v="Married"/>
    <n v="5"/>
    <n v="3"/>
    <n v="5"/>
    <s v="Good"/>
    <s v="No"/>
    <n v="228"/>
    <n v="32"/>
    <n v="30"/>
    <s v="No"/>
    <s v="No"/>
    <x v="1"/>
    <x v="1"/>
    <n v="2020"/>
    <s v="Sep"/>
    <s v="31-35"/>
    <s v="60K-90K"/>
  </r>
  <r>
    <s v="E0966"/>
    <x v="1"/>
    <x v="3"/>
    <x v="5"/>
    <x v="13"/>
    <s v="Senior"/>
    <n v="74921"/>
    <x v="822"/>
    <s v="PhD"/>
    <x v="6"/>
    <s v="Single"/>
    <n v="11"/>
    <n v="1"/>
    <n v="4"/>
    <s v="Average"/>
    <s v="No"/>
    <n v="219"/>
    <n v="37"/>
    <n v="30"/>
    <s v="No"/>
    <s v="No"/>
    <x v="0"/>
    <x v="0"/>
    <n v="2024"/>
    <s v="Dec"/>
    <s v="41-50"/>
    <s v="60K-90K"/>
  </r>
  <r>
    <s v="E0967"/>
    <x v="0"/>
    <x v="16"/>
    <x v="5"/>
    <x v="13"/>
    <s v="Senior"/>
    <n v="79932"/>
    <x v="541"/>
    <s v="Bachelor's"/>
    <x v="6"/>
    <s v="Married"/>
    <n v="11"/>
    <n v="3"/>
    <n v="4"/>
    <s v="Good"/>
    <s v="Yes"/>
    <n v="219"/>
    <n v="11"/>
    <n v="14"/>
    <s v="No"/>
    <s v="Yes"/>
    <x v="1"/>
    <x v="2"/>
    <n v="2026"/>
    <s v="Jan"/>
    <s v="26-30"/>
    <s v="60K-90K"/>
  </r>
  <r>
    <s v="E0968"/>
    <x v="1"/>
    <x v="18"/>
    <x v="3"/>
    <x v="15"/>
    <s v="Senior"/>
    <n v="91022"/>
    <x v="823"/>
    <s v="Diploma"/>
    <x v="4"/>
    <s v="Married"/>
    <n v="7"/>
    <n v="5"/>
    <n v="2"/>
    <s v="Low"/>
    <s v="No"/>
    <n v="255"/>
    <n v="10"/>
    <n v="17"/>
    <s v="No"/>
    <s v="Yes"/>
    <x v="1"/>
    <x v="1"/>
    <n v="2021"/>
    <s v="Apr"/>
    <s v="41-50"/>
    <s v="90K-130K"/>
  </r>
  <r>
    <s v="E0969"/>
    <x v="0"/>
    <x v="1"/>
    <x v="2"/>
    <x v="12"/>
    <s v="Junior"/>
    <n v="30730"/>
    <x v="824"/>
    <s v="MBA"/>
    <x v="6"/>
    <s v="Divorced"/>
    <n v="0"/>
    <n v="5"/>
    <n v="4"/>
    <s v="Excellent"/>
    <s v="Yes"/>
    <n v="226"/>
    <n v="11"/>
    <n v="23"/>
    <s v="No"/>
    <s v="Yes"/>
    <x v="1"/>
    <x v="1"/>
    <n v="2024"/>
    <s v="Mar"/>
    <s v="31-35"/>
    <s v="&lt;40K"/>
  </r>
  <r>
    <s v="E0970"/>
    <x v="0"/>
    <x v="9"/>
    <x v="0"/>
    <x v="16"/>
    <s v="Senior"/>
    <n v="80322"/>
    <x v="825"/>
    <s v="MBA"/>
    <x v="4"/>
    <s v="Single"/>
    <n v="10"/>
    <n v="1"/>
    <n v="2"/>
    <s v="Low"/>
    <s v="Yes"/>
    <n v="160"/>
    <n v="25"/>
    <n v="29"/>
    <s v="No"/>
    <s v="No"/>
    <x v="0"/>
    <x v="0"/>
    <n v="2022"/>
    <s v="Jan"/>
    <s v="21-25"/>
    <s v="60K-90K"/>
  </r>
  <r>
    <s v="E0971"/>
    <x v="0"/>
    <x v="14"/>
    <x v="2"/>
    <x v="30"/>
    <s v="Junior"/>
    <n v="39051"/>
    <x v="826"/>
    <s v="MBA"/>
    <x v="5"/>
    <s v="Married"/>
    <n v="1"/>
    <n v="3"/>
    <n v="5"/>
    <s v="Low"/>
    <s v="No"/>
    <n v="206"/>
    <n v="61"/>
    <n v="24"/>
    <s v="Yes"/>
    <s v="No"/>
    <x v="0"/>
    <x v="0"/>
    <n v="2021"/>
    <s v="Jan"/>
    <s v="31-35"/>
    <s v="&lt;40K"/>
  </r>
  <r>
    <s v="E0972"/>
    <x v="0"/>
    <x v="16"/>
    <x v="7"/>
    <x v="29"/>
    <s v="Senior"/>
    <n v="103658"/>
    <x v="827"/>
    <s v="PhD"/>
    <x v="2"/>
    <s v="Divorced"/>
    <n v="10"/>
    <n v="1"/>
    <n v="2"/>
    <s v="Average"/>
    <s v="No"/>
    <n v="246"/>
    <n v="43"/>
    <n v="26"/>
    <s v="No"/>
    <s v="Yes"/>
    <x v="0"/>
    <x v="0"/>
    <n v="2026"/>
    <s v="Mar"/>
    <s v="26-30"/>
    <s v="90K-130K"/>
  </r>
  <r>
    <s v="E0973"/>
    <x v="0"/>
    <x v="6"/>
    <x v="1"/>
    <x v="31"/>
    <s v="Junior"/>
    <n v="37090"/>
    <x v="376"/>
    <s v="Diploma"/>
    <x v="2"/>
    <s v="Divorced"/>
    <n v="2"/>
    <n v="1"/>
    <n v="2"/>
    <s v="Low"/>
    <s v="No"/>
    <n v="155"/>
    <n v="33"/>
    <n v="22"/>
    <s v="No"/>
    <s v="No"/>
    <x v="0"/>
    <x v="0"/>
    <n v="2020"/>
    <s v="May"/>
    <s v="36-40"/>
    <s v="&lt;40K"/>
  </r>
  <r>
    <s v="E0974"/>
    <x v="0"/>
    <x v="16"/>
    <x v="3"/>
    <x v="3"/>
    <s v="Mid-Level"/>
    <n v="54248"/>
    <x v="828"/>
    <s v="Bachelor's"/>
    <x v="7"/>
    <s v="Married"/>
    <n v="7"/>
    <n v="3"/>
    <n v="2"/>
    <s v="Low"/>
    <s v="Yes"/>
    <n v="196"/>
    <n v="7"/>
    <n v="14"/>
    <s v="No"/>
    <s v="No"/>
    <x v="0"/>
    <x v="0"/>
    <n v="2025"/>
    <s v="May"/>
    <s v="26-30"/>
    <s v="40K-60K"/>
  </r>
  <r>
    <s v="E0975"/>
    <x v="1"/>
    <x v="7"/>
    <x v="0"/>
    <x v="10"/>
    <s v="Manager"/>
    <n v="147571"/>
    <x v="231"/>
    <s v="Master's"/>
    <x v="0"/>
    <s v="Divorced"/>
    <n v="15"/>
    <n v="1"/>
    <n v="2"/>
    <s v="Average"/>
    <s v="No"/>
    <n v="214"/>
    <n v="77"/>
    <n v="29"/>
    <s v="No"/>
    <s v="No"/>
    <x v="1"/>
    <x v="1"/>
    <n v="2021"/>
    <s v="Dec"/>
    <s v="26-30"/>
    <s v="130K+"/>
  </r>
  <r>
    <s v="E0976"/>
    <x v="1"/>
    <x v="9"/>
    <x v="1"/>
    <x v="31"/>
    <s v="Junior"/>
    <n v="40865"/>
    <x v="829"/>
    <s v="MBA"/>
    <x v="5"/>
    <s v="Single"/>
    <n v="3"/>
    <n v="4"/>
    <n v="2"/>
    <s v="Excellent"/>
    <s v="No"/>
    <n v="191"/>
    <n v="32"/>
    <n v="14"/>
    <s v="No"/>
    <s v="Yes"/>
    <x v="1"/>
    <x v="1"/>
    <n v="2024"/>
    <s v="Feb"/>
    <s v="21-25"/>
    <s v="40K-60K"/>
  </r>
  <r>
    <s v="E0977"/>
    <x v="0"/>
    <x v="7"/>
    <x v="4"/>
    <x v="19"/>
    <s v="Senior"/>
    <n v="71931"/>
    <x v="808"/>
    <s v="Diploma"/>
    <x v="3"/>
    <s v="Single"/>
    <n v="12"/>
    <n v="3"/>
    <n v="2"/>
    <s v="Average"/>
    <s v="No"/>
    <n v="157"/>
    <n v="44"/>
    <n v="12"/>
    <s v="Yes"/>
    <s v="No"/>
    <x v="1"/>
    <x v="1"/>
    <n v="2025"/>
    <s v="Jan"/>
    <s v="26-30"/>
    <s v="60K-90K"/>
  </r>
  <r>
    <s v="E0978"/>
    <x v="0"/>
    <x v="9"/>
    <x v="0"/>
    <x v="10"/>
    <s v="Manager"/>
    <n v="96081"/>
    <x v="15"/>
    <s v="Master's"/>
    <x v="1"/>
    <s v="Single"/>
    <n v="13"/>
    <n v="1"/>
    <n v="5"/>
    <s v="Excellent"/>
    <s v="No"/>
    <n v="202"/>
    <n v="55"/>
    <n v="16"/>
    <s v="Yes"/>
    <s v="No"/>
    <x v="1"/>
    <x v="1"/>
    <n v="2021"/>
    <s v="Sep"/>
    <s v="21-25"/>
    <s v="90K-130K"/>
  </r>
  <r>
    <s v="E0979"/>
    <x v="0"/>
    <x v="9"/>
    <x v="5"/>
    <x v="6"/>
    <s v="Manager"/>
    <n v="133788"/>
    <x v="274"/>
    <s v="Diploma"/>
    <x v="7"/>
    <s v="Married"/>
    <n v="20"/>
    <n v="5"/>
    <n v="5"/>
    <s v="Average"/>
    <s v="No"/>
    <n v="191"/>
    <n v="55"/>
    <n v="3"/>
    <s v="Yes"/>
    <s v="No"/>
    <x v="0"/>
    <x v="0"/>
    <n v="2025"/>
    <s v="Apr"/>
    <s v="21-25"/>
    <s v="130K+"/>
  </r>
  <r>
    <s v="E0980"/>
    <x v="0"/>
    <x v="6"/>
    <x v="4"/>
    <x v="19"/>
    <s v="Junior"/>
    <n v="32635"/>
    <x v="766"/>
    <s v="PhD"/>
    <x v="5"/>
    <s v="Divorced"/>
    <n v="3"/>
    <n v="3"/>
    <n v="5"/>
    <s v="Average"/>
    <s v="Yes"/>
    <n v="159"/>
    <n v="5"/>
    <n v="16"/>
    <s v="Yes"/>
    <s v="No"/>
    <x v="1"/>
    <x v="1"/>
    <n v="2023"/>
    <s v="Feb"/>
    <s v="36-40"/>
    <s v="&lt;40K"/>
  </r>
  <r>
    <s v="E0981"/>
    <x v="1"/>
    <x v="6"/>
    <x v="6"/>
    <x v="26"/>
    <s v="Junior"/>
    <n v="33928"/>
    <x v="524"/>
    <s v="Diploma"/>
    <x v="1"/>
    <s v="Divorced"/>
    <n v="1"/>
    <n v="2"/>
    <n v="1"/>
    <s v="Excellent"/>
    <s v="No"/>
    <n v="251"/>
    <n v="5"/>
    <n v="23"/>
    <s v="No"/>
    <s v="No"/>
    <x v="0"/>
    <x v="0"/>
    <n v="2023"/>
    <s v="Nov"/>
    <s v="36-40"/>
    <s v="&lt;40K"/>
  </r>
  <r>
    <s v="E0982"/>
    <x v="0"/>
    <x v="11"/>
    <x v="4"/>
    <x v="27"/>
    <s v="Junior"/>
    <n v="44486"/>
    <x v="830"/>
    <s v="MBA"/>
    <x v="6"/>
    <s v="Divorced"/>
    <n v="3"/>
    <n v="5"/>
    <n v="3"/>
    <s v="Excellent"/>
    <s v="No"/>
    <n v="220"/>
    <n v="26"/>
    <n v="24"/>
    <s v="No"/>
    <s v="Yes"/>
    <x v="1"/>
    <x v="1"/>
    <n v="2021"/>
    <s v="May"/>
    <s v="31-35"/>
    <s v="40K-60K"/>
  </r>
  <r>
    <s v="E0983"/>
    <x v="1"/>
    <x v="12"/>
    <x v="0"/>
    <x v="10"/>
    <s v="Senior"/>
    <n v="80488"/>
    <x v="831"/>
    <s v="Master's"/>
    <x v="6"/>
    <s v="Single"/>
    <n v="12"/>
    <n v="5"/>
    <n v="2"/>
    <s v="Good"/>
    <s v="Yes"/>
    <n v="220"/>
    <n v="47"/>
    <n v="30"/>
    <s v="No"/>
    <s v="No"/>
    <x v="1"/>
    <x v="1"/>
    <n v="2024"/>
    <s v="Dec"/>
    <s v="21-25"/>
    <s v="60K-90K"/>
  </r>
  <r>
    <s v="E0984"/>
    <x v="0"/>
    <x v="1"/>
    <x v="6"/>
    <x v="26"/>
    <s v="Manager"/>
    <n v="111300"/>
    <x v="477"/>
    <s v="Master's"/>
    <x v="3"/>
    <s v="Divorced"/>
    <n v="8"/>
    <n v="2"/>
    <n v="5"/>
    <s v="Average"/>
    <s v="Yes"/>
    <n v="228"/>
    <n v="12"/>
    <n v="10"/>
    <s v="Yes"/>
    <s v="No"/>
    <x v="1"/>
    <x v="1"/>
    <n v="2019"/>
    <s v="Aug"/>
    <s v="31-35"/>
    <s v="90K-130K"/>
  </r>
  <r>
    <s v="E0985"/>
    <x v="1"/>
    <x v="1"/>
    <x v="7"/>
    <x v="20"/>
    <s v="Mid-Level"/>
    <n v="65958"/>
    <x v="832"/>
    <s v="Master's"/>
    <x v="5"/>
    <s v="Single"/>
    <n v="3"/>
    <n v="1"/>
    <n v="1"/>
    <s v="Low"/>
    <s v="No"/>
    <n v="196"/>
    <n v="31"/>
    <n v="3"/>
    <s v="No"/>
    <s v="No"/>
    <x v="1"/>
    <x v="1"/>
    <n v="2024"/>
    <s v="Nov"/>
    <s v="31-35"/>
    <s v="60K-90K"/>
  </r>
  <r>
    <s v="E0986"/>
    <x v="0"/>
    <x v="15"/>
    <x v="6"/>
    <x v="26"/>
    <s v="Manager"/>
    <n v="155277"/>
    <x v="833"/>
    <s v="Master's"/>
    <x v="1"/>
    <s v="Married"/>
    <n v="13"/>
    <n v="1"/>
    <n v="2"/>
    <s v="Good"/>
    <s v="No"/>
    <n v="241"/>
    <n v="11"/>
    <n v="15"/>
    <s v="No"/>
    <s v="No"/>
    <x v="0"/>
    <x v="0"/>
    <n v="2020"/>
    <s v="Jun"/>
    <s v="21-25"/>
    <s v="130K+"/>
  </r>
  <r>
    <s v="E0987"/>
    <x v="1"/>
    <x v="3"/>
    <x v="1"/>
    <x v="31"/>
    <s v="Junior"/>
    <n v="39286"/>
    <x v="834"/>
    <s v="Master's"/>
    <x v="3"/>
    <s v="Single"/>
    <n v="1"/>
    <n v="4"/>
    <n v="4"/>
    <s v="Low"/>
    <s v="No"/>
    <n v="200"/>
    <n v="25"/>
    <n v="21"/>
    <s v="Yes"/>
    <s v="Yes"/>
    <x v="1"/>
    <x v="2"/>
    <n v="2023"/>
    <s v="Dec"/>
    <s v="41-50"/>
    <s v="&lt;40K"/>
  </r>
  <r>
    <s v="E0988"/>
    <x v="0"/>
    <x v="21"/>
    <x v="7"/>
    <x v="20"/>
    <s v="Manager"/>
    <n v="95357"/>
    <x v="835"/>
    <s v="Diploma"/>
    <x v="2"/>
    <s v="Single"/>
    <n v="10"/>
    <n v="5"/>
    <n v="2"/>
    <s v="Excellent"/>
    <s v="Yes"/>
    <n v="250"/>
    <n v="55"/>
    <n v="7"/>
    <s v="Yes"/>
    <s v="Yes"/>
    <x v="1"/>
    <x v="1"/>
    <n v="2025"/>
    <s v="Jul"/>
    <s v="36-40"/>
    <s v="90K-130K"/>
  </r>
  <r>
    <s v="E0989"/>
    <x v="0"/>
    <x v="4"/>
    <x v="2"/>
    <x v="2"/>
    <s v="Manager"/>
    <n v="91833"/>
    <x v="468"/>
    <s v="PhD"/>
    <x v="6"/>
    <s v="Single"/>
    <n v="16"/>
    <n v="3"/>
    <n v="4"/>
    <s v="Excellent"/>
    <s v="No"/>
    <n v="197"/>
    <n v="34"/>
    <n v="24"/>
    <s v="No"/>
    <s v="No"/>
    <x v="1"/>
    <x v="1"/>
    <n v="2019"/>
    <s v="Aug"/>
    <s v="26-30"/>
    <s v="90K-130K"/>
  </r>
  <r>
    <s v="E0990"/>
    <x v="0"/>
    <x v="14"/>
    <x v="4"/>
    <x v="5"/>
    <s v="Senior"/>
    <n v="68961"/>
    <x v="836"/>
    <s v="PhD"/>
    <x v="7"/>
    <s v="Single"/>
    <n v="9"/>
    <n v="3"/>
    <n v="3"/>
    <s v="Good"/>
    <s v="No"/>
    <n v="233"/>
    <n v="29"/>
    <n v="24"/>
    <s v="Yes"/>
    <s v="Yes"/>
    <x v="1"/>
    <x v="2"/>
    <n v="2025"/>
    <s v="Jul"/>
    <s v="31-35"/>
    <s v="60K-90K"/>
  </r>
  <r>
    <s v="E0991"/>
    <x v="1"/>
    <x v="8"/>
    <x v="0"/>
    <x v="0"/>
    <s v="Manager"/>
    <n v="111925"/>
    <x v="93"/>
    <s v="Bachelor's"/>
    <x v="1"/>
    <s v="Married"/>
    <n v="15"/>
    <n v="2"/>
    <n v="2"/>
    <s v="Average"/>
    <s v="No"/>
    <n v="167"/>
    <n v="37"/>
    <n v="8"/>
    <s v="No"/>
    <s v="No"/>
    <x v="1"/>
    <x v="1"/>
    <n v="2021"/>
    <s v="Feb"/>
    <s v="31-35"/>
    <s v="90K-130K"/>
  </r>
  <r>
    <s v="E0992"/>
    <x v="1"/>
    <x v="9"/>
    <x v="3"/>
    <x v="3"/>
    <s v="Mid-Level"/>
    <n v="45323"/>
    <x v="837"/>
    <s v="Diploma"/>
    <x v="1"/>
    <s v="Divorced"/>
    <n v="7"/>
    <n v="5"/>
    <n v="1"/>
    <s v="Excellent"/>
    <s v="No"/>
    <n v="244"/>
    <n v="23"/>
    <n v="22"/>
    <s v="Yes"/>
    <s v="No"/>
    <x v="1"/>
    <x v="1"/>
    <n v="2024"/>
    <s v="Oct"/>
    <s v="21-25"/>
    <s v="40K-60K"/>
  </r>
  <r>
    <s v="E0993"/>
    <x v="0"/>
    <x v="4"/>
    <x v="4"/>
    <x v="5"/>
    <s v="Mid-Level"/>
    <n v="48586"/>
    <x v="838"/>
    <s v="Master's"/>
    <x v="4"/>
    <s v="Divorced"/>
    <n v="6"/>
    <n v="2"/>
    <n v="2"/>
    <s v="Low"/>
    <s v="No"/>
    <n v="186"/>
    <n v="51"/>
    <n v="19"/>
    <s v="Yes"/>
    <s v="No"/>
    <x v="1"/>
    <x v="1"/>
    <n v="2022"/>
    <s v="Oct"/>
    <s v="26-30"/>
    <s v="40K-60K"/>
  </r>
  <r>
    <s v="E0994"/>
    <x v="0"/>
    <x v="16"/>
    <x v="5"/>
    <x v="13"/>
    <s v="Junior"/>
    <n v="35893"/>
    <x v="839"/>
    <s v="MBA"/>
    <x v="4"/>
    <s v="Married"/>
    <n v="0"/>
    <n v="3"/>
    <n v="5"/>
    <s v="Excellent"/>
    <s v="No"/>
    <n v="201"/>
    <n v="77"/>
    <n v="23"/>
    <s v="No"/>
    <s v="Yes"/>
    <x v="1"/>
    <x v="2"/>
    <n v="2019"/>
    <s v="Nov"/>
    <s v="26-30"/>
    <s v="&lt;40K"/>
  </r>
  <r>
    <s v="E0995"/>
    <x v="1"/>
    <x v="10"/>
    <x v="7"/>
    <x v="17"/>
    <s v="Senior"/>
    <n v="106663"/>
    <x v="840"/>
    <s v="MBA"/>
    <x v="7"/>
    <s v="Married"/>
    <n v="10"/>
    <n v="3"/>
    <n v="2"/>
    <s v="Excellent"/>
    <s v="No"/>
    <n v="197"/>
    <n v="13"/>
    <n v="15"/>
    <s v="Yes"/>
    <s v="No"/>
    <x v="1"/>
    <x v="1"/>
    <n v="2021"/>
    <s v="Mar"/>
    <s v="21-25"/>
    <s v="90K-130K"/>
  </r>
  <r>
    <s v="E0996"/>
    <x v="0"/>
    <x v="4"/>
    <x v="2"/>
    <x v="12"/>
    <s v="Senior"/>
    <n v="83713"/>
    <x v="841"/>
    <s v="MBA"/>
    <x v="3"/>
    <s v="Married"/>
    <n v="10"/>
    <n v="5"/>
    <n v="1"/>
    <s v="Average"/>
    <s v="No"/>
    <n v="192"/>
    <n v="46"/>
    <n v="27"/>
    <s v="No"/>
    <s v="No"/>
    <x v="1"/>
    <x v="2"/>
    <n v="2019"/>
    <s v="Apr"/>
    <s v="26-30"/>
    <s v="60K-90K"/>
  </r>
  <r>
    <s v="E0997"/>
    <x v="1"/>
    <x v="18"/>
    <x v="5"/>
    <x v="25"/>
    <s v="Mid-Level"/>
    <n v="45697"/>
    <x v="842"/>
    <s v="Diploma"/>
    <x v="1"/>
    <s v="Married"/>
    <n v="3"/>
    <n v="4"/>
    <n v="3"/>
    <s v="Average"/>
    <s v="Yes"/>
    <n v="180"/>
    <n v="54"/>
    <n v="5"/>
    <s v="No"/>
    <s v="No"/>
    <x v="1"/>
    <x v="1"/>
    <n v="2019"/>
    <s v="Feb"/>
    <s v="41-50"/>
    <s v="40K-60K"/>
  </r>
  <r>
    <s v="E0998"/>
    <x v="1"/>
    <x v="2"/>
    <x v="1"/>
    <x v="14"/>
    <s v="Mid-Level"/>
    <n v="55613"/>
    <x v="843"/>
    <s v="PhD"/>
    <x v="0"/>
    <s v="Divorced"/>
    <n v="2"/>
    <n v="3"/>
    <n v="3"/>
    <s v="Excellent"/>
    <s v="Yes"/>
    <n v="241"/>
    <n v="33"/>
    <n v="5"/>
    <s v="No"/>
    <s v="Yes"/>
    <x v="1"/>
    <x v="1"/>
    <n v="2022"/>
    <s v="May"/>
    <s v="36-40"/>
    <s v="40K-60K"/>
  </r>
  <r>
    <s v="E0999"/>
    <x v="0"/>
    <x v="7"/>
    <x v="2"/>
    <x v="2"/>
    <s v="Senior"/>
    <n v="75945"/>
    <x v="844"/>
    <s v="Diploma"/>
    <x v="2"/>
    <s v="Married"/>
    <n v="7"/>
    <n v="1"/>
    <n v="3"/>
    <s v="Average"/>
    <s v="No"/>
    <n v="220"/>
    <n v="31"/>
    <n v="13"/>
    <s v="No"/>
    <s v="No"/>
    <x v="0"/>
    <x v="0"/>
    <n v="2020"/>
    <s v="May"/>
    <s v="26-30"/>
    <s v="60K-90K"/>
  </r>
  <r>
    <s v="E1000"/>
    <x v="1"/>
    <x v="2"/>
    <x v="6"/>
    <x v="24"/>
    <s v="Manager"/>
    <n v="124047"/>
    <x v="845"/>
    <s v="Master's"/>
    <x v="5"/>
    <s v="Divorced"/>
    <n v="12"/>
    <n v="4"/>
    <n v="1"/>
    <s v="Excellent"/>
    <s v="Yes"/>
    <n v="213"/>
    <n v="48"/>
    <n v="30"/>
    <s v="No"/>
    <s v="No"/>
    <x v="1"/>
    <x v="1"/>
    <n v="2026"/>
    <s v="Aug"/>
    <s v="36-40"/>
    <s v="90K-13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0C467-1086-425D-A860-91B666AE13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D10:E19" firstHeaderRow="1" firstDataRow="1" firstDataCol="1" rowPageCount="1" colPageCount="1"/>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axis="axisRow" showAll="0" sortType="descending">
      <items count="9">
        <item x="4"/>
        <item x="6"/>
        <item x="2"/>
        <item x="0"/>
        <item x="5"/>
        <item x="3"/>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9">
    <i>
      <x v="6"/>
    </i>
    <i>
      <x v="5"/>
    </i>
    <i>
      <x v="4"/>
    </i>
    <i>
      <x v="3"/>
    </i>
    <i>
      <x v="7"/>
    </i>
    <i>
      <x/>
    </i>
    <i>
      <x v="1"/>
    </i>
    <i>
      <x v="2"/>
    </i>
    <i t="grand">
      <x/>
    </i>
  </rowItems>
  <colItems count="1">
    <i/>
  </colItems>
  <pageFields count="1">
    <pageField fld="21" hier="-1"/>
  </pageFields>
  <dataFields count="1">
    <dataField name="ATTRITION COUNT" fld="0" subtotal="count" baseField="3" baseItem="0"/>
  </dataFields>
  <formats count="12">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3CE7E-CC06-48F3-A9A8-2C5C08CCC53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JOB ROLE">
  <location ref="I10:J43" firstHeaderRow="1" firstDataRow="1" firstDataCol="1" rowPageCount="1" colPageCount="1"/>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axis="axisRow" showAll="0" sortType="descending">
      <items count="33">
        <item x="1"/>
        <item x="7"/>
        <item x="11"/>
        <item x="18"/>
        <item x="25"/>
        <item x="19"/>
        <item x="27"/>
        <item x="9"/>
        <item x="13"/>
        <item x="22"/>
        <item x="26"/>
        <item x="23"/>
        <item x="12"/>
        <item x="16"/>
        <item x="28"/>
        <item x="6"/>
        <item x="15"/>
        <item x="21"/>
        <item x="24"/>
        <item x="3"/>
        <item x="20"/>
        <item x="17"/>
        <item x="30"/>
        <item x="8"/>
        <item x="29"/>
        <item x="31"/>
        <item x="14"/>
        <item x="5"/>
        <item x="10"/>
        <item x="4"/>
        <item x="0"/>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33">
    <i>
      <x v="10"/>
    </i>
    <i>
      <x v="5"/>
    </i>
    <i>
      <x v="20"/>
    </i>
    <i>
      <x v="19"/>
    </i>
    <i>
      <x v="23"/>
    </i>
    <i>
      <x v="4"/>
    </i>
    <i>
      <x v="29"/>
    </i>
    <i>
      <x v="7"/>
    </i>
    <i>
      <x/>
    </i>
    <i>
      <x v="14"/>
    </i>
    <i>
      <x v="30"/>
    </i>
    <i>
      <x v="24"/>
    </i>
    <i>
      <x v="2"/>
    </i>
    <i>
      <x v="16"/>
    </i>
    <i>
      <x v="13"/>
    </i>
    <i>
      <x v="9"/>
    </i>
    <i>
      <x v="6"/>
    </i>
    <i>
      <x v="21"/>
    </i>
    <i>
      <x v="3"/>
    </i>
    <i>
      <x v="25"/>
    </i>
    <i>
      <x v="8"/>
    </i>
    <i>
      <x v="26"/>
    </i>
    <i>
      <x v="31"/>
    </i>
    <i>
      <x v="1"/>
    </i>
    <i>
      <x v="22"/>
    </i>
    <i>
      <x v="11"/>
    </i>
    <i>
      <x v="15"/>
    </i>
    <i>
      <x v="27"/>
    </i>
    <i>
      <x v="12"/>
    </i>
    <i>
      <x v="28"/>
    </i>
    <i>
      <x v="17"/>
    </i>
    <i>
      <x v="18"/>
    </i>
    <i t="grand">
      <x/>
    </i>
  </rowItems>
  <colItems count="1">
    <i/>
  </colItems>
  <pageFields count="1">
    <pageField fld="21" hier="-1"/>
  </pageFields>
  <dataFields count="1">
    <dataField name="ATTRITION COUNT" fld="0" subtotal="count"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24748D-28E2-42CC-9C4D-B019084055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pageFields count="1">
    <pageField fld="21" hier="-1"/>
  </pageFields>
  <dataFields count="1">
    <dataField name="ATTRITION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929BBA-5F19-4D38-9BB4-D5651529252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D22:E31" firstHeaderRow="1" firstDataRow="1" firstDataCol="1"/>
  <pivotFields count="30">
    <pivotField dataField="1" showAll="0"/>
    <pivotField showAll="0">
      <items count="3">
        <item x="1"/>
        <item x="0"/>
        <item t="default"/>
      </items>
    </pivotField>
    <pivotField axis="axisRow"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9">
    <i>
      <x v="1"/>
    </i>
    <i>
      <x v="2"/>
    </i>
    <i>
      <x v="3"/>
    </i>
    <i>
      <x v="4"/>
    </i>
    <i>
      <x v="5"/>
    </i>
    <i>
      <x v="6"/>
    </i>
    <i>
      <x v="7"/>
    </i>
    <i>
      <x v="8"/>
    </i>
    <i t="grand">
      <x/>
    </i>
  </rowItems>
  <colItems count="1">
    <i/>
  </colItems>
  <dataFields count="1">
    <dataField name="EMPLOYEE COUNT" fld="0" subtotal="count" baseField="2" baseItem="1"/>
  </dataFields>
  <formats count="6">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8">
            <x v="1"/>
            <x v="2"/>
            <x v="3"/>
            <x v="4"/>
            <x v="5"/>
            <x v="6"/>
            <x v="7"/>
            <x v="8"/>
          </reference>
        </references>
      </pivotArea>
    </format>
    <format dxfId="13">
      <pivotArea dataOnly="0" labelOnly="1" grandRow="1" outline="0" fieldPosition="0"/>
    </format>
    <format dxfId="1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375D15-1A44-4748-80F5-62D423E8B8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4">
        <item x="1"/>
        <item h="1" x="2"/>
        <item h="1"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258C12-7B97-4782-86B4-E1424B35C31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F10:G13" firstHeaderRow="1" firstDataRow="1" firstDataCol="1"/>
  <pivotFields count="30">
    <pivotField dataField="1" showAll="0"/>
    <pivotField axis="axisRow"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3">
    <i>
      <x/>
    </i>
    <i>
      <x v="1"/>
    </i>
    <i t="grand">
      <x/>
    </i>
  </rowItems>
  <colItems count="1">
    <i/>
  </colItems>
  <dataFields count="1">
    <dataField name="EMPLOYEE COUNT"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414AF2-E44E-4EB3-899E-F8060F628F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30">
    <pivotField showAll="0"/>
    <pivotField showAll="0">
      <items count="3">
        <item x="1"/>
        <item x="0"/>
        <item t="default"/>
      </items>
    </pivotField>
    <pivotField dataField="1"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Age" fld="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53BE68-C38D-4863-99E7-9AA32FD0BA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10:B19" firstHeaderRow="1" firstDataRow="1" firstDataCol="1"/>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axis="axisRow" showAll="0" sortType="descending">
      <items count="9">
        <item x="4"/>
        <item x="6"/>
        <item x="2"/>
        <item x="0"/>
        <item x="5"/>
        <item x="3"/>
        <item x="7"/>
        <item x="1"/>
        <item t="default"/>
      </items>
      <autoSortScope>
        <pivotArea dataOnly="0" outline="0" fieldPosition="0">
          <references count="1">
            <reference field="4294967294" count="1" selected="0">
              <x v="0"/>
            </reference>
          </references>
        </pivotArea>
      </autoSortScope>
    </pivotField>
    <pivotField showAll="0">
      <items count="33">
        <item x="1"/>
        <item x="7"/>
        <item x="11"/>
        <item x="18"/>
        <item x="25"/>
        <item x="19"/>
        <item x="27"/>
        <item x="9"/>
        <item x="13"/>
        <item x="22"/>
        <item x="26"/>
        <item x="23"/>
        <item x="12"/>
        <item x="16"/>
        <item x="28"/>
        <item x="6"/>
        <item x="15"/>
        <item x="21"/>
        <item x="24"/>
        <item x="3"/>
        <item x="20"/>
        <item x="17"/>
        <item x="30"/>
        <item x="8"/>
        <item x="29"/>
        <item x="31"/>
        <item x="14"/>
        <item x="5"/>
        <item x="10"/>
        <item x="4"/>
        <item x="0"/>
        <item x="2"/>
        <item t="default"/>
      </items>
    </pivotField>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9">
    <i>
      <x/>
    </i>
    <i>
      <x v="6"/>
    </i>
    <i>
      <x v="1"/>
    </i>
    <i>
      <x v="7"/>
    </i>
    <i>
      <x v="5"/>
    </i>
    <i>
      <x v="2"/>
    </i>
    <i>
      <x v="3"/>
    </i>
    <i>
      <x v="4"/>
    </i>
    <i t="grand">
      <x/>
    </i>
  </rowItems>
  <colItems count="1">
    <i/>
  </colItems>
  <dataFields count="1">
    <dataField name="EMPLOYEE COUNT" fld="0"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6E7556-3DBD-4C0A-B5A2-E215D1B9F76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 firstHeaderRow="0" firstDataRow="0" firstDataCol="0" rowPageCount="3" colPageCount="1"/>
  <pivotFields count="30">
    <pivotField showAll="0"/>
    <pivotField axis="axisPage" showAll="0">
      <items count="3">
        <item x="1"/>
        <item x="0"/>
        <item t="default"/>
      </items>
    </pivotField>
    <pivotField showAll="0"/>
    <pivotField axis="axisPage" multipleItemSelectionAllowed="1"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axis="axisPage" multipleItemSelectionAllowed="1"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pageFields count="3">
    <pageField fld="1" hier="-1"/>
    <pageField fld="3" hier="-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688804-EFD3-47DB-A04F-5720546FB1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30">
    <pivotField showAll="0"/>
    <pivotField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dataField="1"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Monthly Salary"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0C3AC6-ADF0-4091-9882-457827309A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30">
    <pivotField dataField="1" showAll="0"/>
    <pivotField showAll="0">
      <items count="3">
        <item x="1"/>
        <item x="0"/>
        <item t="default"/>
      </items>
    </pivotField>
    <pivotField showAll="0">
      <items count="11">
        <item x="0"/>
        <item x="1"/>
        <item x="2"/>
        <item x="3"/>
        <item x="4"/>
        <item x="5"/>
        <item x="6"/>
        <item x="7"/>
        <item x="8"/>
        <item x="9"/>
        <item t="default"/>
      </items>
    </pivotField>
    <pivotField showAll="0">
      <items count="9">
        <item x="4"/>
        <item x="6"/>
        <item x="2"/>
        <item x="0"/>
        <item x="5"/>
        <item x="3"/>
        <item x="7"/>
        <item x="1"/>
        <item t="default"/>
      </items>
    </pivotField>
    <pivotField showAll="0"/>
    <pivotField showAll="0"/>
    <pivotField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1"/>
        <item h="1" x="2"/>
        <item h="1"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pageFields count="1">
    <pageField fld="22"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14025B-1C4B-4B14-824F-0373EE2938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2:C31" firstHeaderRow="1" firstDataRow="1" firstDataCol="1"/>
  <pivotFields count="30">
    <pivotField showAll="0"/>
    <pivotField showAll="0">
      <items count="3">
        <item x="1"/>
        <item x="0"/>
        <item t="default"/>
      </items>
    </pivotField>
    <pivotField showAll="0">
      <items count="11">
        <item x="0"/>
        <item x="1"/>
        <item x="2"/>
        <item x="3"/>
        <item x="4"/>
        <item x="5"/>
        <item x="6"/>
        <item x="7"/>
        <item x="8"/>
        <item x="9"/>
        <item t="default"/>
      </items>
    </pivotField>
    <pivotField axis="axisRow" showAll="0" sortType="descending">
      <items count="9">
        <item x="4"/>
        <item x="6"/>
        <item x="2"/>
        <item x="0"/>
        <item x="5"/>
        <item x="3"/>
        <item x="7"/>
        <item x="1"/>
        <item t="default"/>
      </items>
      <autoSortScope>
        <pivotArea dataOnly="0" outline="0" fieldPosition="0">
          <references count="1">
            <reference field="4294967294" count="1" selected="0">
              <x v="0"/>
            </reference>
          </references>
        </pivotArea>
      </autoSortScope>
    </pivotField>
    <pivotField showAll="0">
      <items count="33">
        <item x="1"/>
        <item x="7"/>
        <item x="11"/>
        <item x="18"/>
        <item x="25"/>
        <item x="19"/>
        <item x="27"/>
        <item x="9"/>
        <item x="13"/>
        <item x="22"/>
        <item x="26"/>
        <item x="23"/>
        <item x="12"/>
        <item x="16"/>
        <item x="28"/>
        <item x="6"/>
        <item x="15"/>
        <item x="21"/>
        <item x="24"/>
        <item x="3"/>
        <item x="20"/>
        <item x="17"/>
        <item x="30"/>
        <item x="8"/>
        <item x="29"/>
        <item x="31"/>
        <item x="14"/>
        <item x="5"/>
        <item x="10"/>
        <item x="4"/>
        <item x="0"/>
        <item x="2"/>
        <item t="default"/>
      </items>
    </pivotField>
    <pivotField showAll="0"/>
    <pivotField dataField="1" showAll="0"/>
    <pivotField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9">
    <i>
      <x v="3"/>
    </i>
    <i>
      <x v="5"/>
    </i>
    <i>
      <x v="7"/>
    </i>
    <i>
      <x v="4"/>
    </i>
    <i>
      <x/>
    </i>
    <i>
      <x v="1"/>
    </i>
    <i>
      <x v="2"/>
    </i>
    <i>
      <x v="6"/>
    </i>
    <i t="grand">
      <x/>
    </i>
  </rowItems>
  <colItems count="1">
    <i/>
  </colItems>
  <dataFields count="1">
    <dataField name="Average of Monthly Salary" fld="6" subtotal="average" baseField="3"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BFA000-7D13-43C5-84EA-52BEBA5E8A9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F22:G31" firstHeaderRow="1" firstDataRow="1" firstDataCol="1"/>
  <pivotFields count="30">
    <pivotField dataField="1" showAll="0"/>
    <pivotField showAll="0">
      <items count="3">
        <item x="1"/>
        <item x="0"/>
        <item t="default"/>
      </items>
    </pivotField>
    <pivotField showAll="0"/>
    <pivotField showAll="0">
      <items count="9">
        <item x="4"/>
        <item x="6"/>
        <item x="2"/>
        <item x="0"/>
        <item x="5"/>
        <item x="3"/>
        <item x="7"/>
        <item x="1"/>
        <item t="default"/>
      </items>
    </pivotField>
    <pivotField showAll="0"/>
    <pivotField showAll="0"/>
    <pivotField showAll="0"/>
    <pivotField axis="axisRow" numFmtId="164" showAll="0">
      <items count="847">
        <item x="557"/>
        <item x="430"/>
        <item x="628"/>
        <item x="12"/>
        <item x="325"/>
        <item x="426"/>
        <item x="270"/>
        <item x="333"/>
        <item x="184"/>
        <item x="815"/>
        <item x="27"/>
        <item x="514"/>
        <item x="215"/>
        <item x="767"/>
        <item x="451"/>
        <item x="389"/>
        <item x="533"/>
        <item x="705"/>
        <item x="17"/>
        <item x="374"/>
        <item x="148"/>
        <item x="486"/>
        <item x="809"/>
        <item x="842"/>
        <item x="146"/>
        <item x="484"/>
        <item x="562"/>
        <item x="34"/>
        <item x="660"/>
        <item x="342"/>
        <item x="551"/>
        <item x="245"/>
        <item x="366"/>
        <item x="841"/>
        <item x="133"/>
        <item x="384"/>
        <item x="464"/>
        <item x="536"/>
        <item x="670"/>
        <item x="543"/>
        <item x="330"/>
        <item x="282"/>
        <item x="332"/>
        <item x="518"/>
        <item x="579"/>
        <item x="567"/>
        <item x="241"/>
        <item x="39"/>
        <item x="242"/>
        <item x="251"/>
        <item x="181"/>
        <item x="103"/>
        <item x="162"/>
        <item x="554"/>
        <item x="575"/>
        <item x="507"/>
        <item x="266"/>
        <item x="755"/>
        <item x="80"/>
        <item x="634"/>
        <item x="410"/>
        <item x="131"/>
        <item x="800"/>
        <item x="151"/>
        <item x="454"/>
        <item x="618"/>
        <item x="501"/>
        <item x="240"/>
        <item x="158"/>
        <item x="453"/>
        <item x="487"/>
        <item x="243"/>
        <item x="327"/>
        <item x="477"/>
        <item x="206"/>
        <item x="712"/>
        <item x="361"/>
        <item x="468"/>
        <item x="161"/>
        <item x="137"/>
        <item x="758"/>
        <item x="157"/>
        <item x="592"/>
        <item x="394"/>
        <item x="315"/>
        <item x="457"/>
        <item x="225"/>
        <item x="495"/>
        <item x="406"/>
        <item x="419"/>
        <item x="519"/>
        <item x="60"/>
        <item x="201"/>
        <item x="496"/>
        <item x="741"/>
        <item x="526"/>
        <item x="165"/>
        <item x="528"/>
        <item x="839"/>
        <item x="469"/>
        <item x="446"/>
        <item x="373"/>
        <item x="424"/>
        <item x="759"/>
        <item x="280"/>
        <item x="467"/>
        <item x="774"/>
        <item x="108"/>
        <item x="223"/>
        <item x="57"/>
        <item x="658"/>
        <item x="609"/>
        <item x="478"/>
        <item x="141"/>
        <item x="729"/>
        <item x="328"/>
        <item x="10"/>
        <item x="297"/>
        <item x="195"/>
        <item x="510"/>
        <item x="544"/>
        <item x="0"/>
        <item x="214"/>
        <item x="71"/>
        <item x="398"/>
        <item x="443"/>
        <item x="653"/>
        <item x="187"/>
        <item x="331"/>
        <item x="726"/>
        <item x="531"/>
        <item x="580"/>
        <item x="163"/>
        <item x="470"/>
        <item x="7"/>
        <item x="284"/>
        <item x="447"/>
        <item x="129"/>
        <item x="37"/>
        <item x="546"/>
        <item x="55"/>
        <item x="435"/>
        <item x="539"/>
        <item x="110"/>
        <item x="459"/>
        <item x="844"/>
        <item x="35"/>
        <item x="709"/>
        <item x="273"/>
        <item x="387"/>
        <item x="442"/>
        <item x="794"/>
        <item x="376"/>
        <item x="556"/>
        <item x="306"/>
        <item x="833"/>
        <item x="28"/>
        <item x="740"/>
        <item x="210"/>
        <item x="474"/>
        <item x="570"/>
        <item x="140"/>
        <item x="644"/>
        <item x="186"/>
        <item x="770"/>
        <item x="138"/>
        <item x="143"/>
        <item x="198"/>
        <item x="597"/>
        <item x="642"/>
        <item x="418"/>
        <item x="290"/>
        <item x="525"/>
        <item x="26"/>
        <item x="489"/>
        <item x="647"/>
        <item x="512"/>
        <item x="553"/>
        <item x="441"/>
        <item x="635"/>
        <item x="114"/>
        <item x="295"/>
        <item x="798"/>
        <item x="585"/>
        <item x="24"/>
        <item x="345"/>
        <item x="317"/>
        <item x="156"/>
        <item x="783"/>
        <item x="694"/>
        <item x="262"/>
        <item x="821"/>
        <item x="90"/>
        <item x="147"/>
        <item x="252"/>
        <item x="737"/>
        <item x="13"/>
        <item x="742"/>
        <item x="6"/>
        <item x="44"/>
        <item x="736"/>
        <item x="640"/>
        <item x="573"/>
        <item x="756"/>
        <item x="233"/>
        <item x="265"/>
        <item x="765"/>
        <item x="40"/>
        <item x="49"/>
        <item x="540"/>
        <item x="386"/>
        <item x="68"/>
        <item x="360"/>
        <item x="310"/>
        <item x="352"/>
        <item x="399"/>
        <item x="534"/>
        <item x="189"/>
        <item x="664"/>
        <item x="688"/>
        <item x="164"/>
        <item x="66"/>
        <item x="32"/>
        <item x="197"/>
        <item x="272"/>
        <item x="150"/>
        <item x="364"/>
        <item x="217"/>
        <item x="626"/>
        <item x="33"/>
        <item x="588"/>
        <item x="826"/>
        <item x="578"/>
        <item x="105"/>
        <item x="812"/>
        <item x="564"/>
        <item x="363"/>
        <item x="796"/>
        <item x="630"/>
        <item x="602"/>
        <item x="633"/>
        <item x="93"/>
        <item x="168"/>
        <item x="279"/>
        <item x="354"/>
        <item x="346"/>
        <item x="415"/>
        <item x="172"/>
        <item x="797"/>
        <item x="616"/>
        <item x="472"/>
        <item x="152"/>
        <item x="483"/>
        <item x="750"/>
        <item x="490"/>
        <item x="423"/>
        <item x="452"/>
        <item x="234"/>
        <item x="840"/>
        <item x="520"/>
        <item x="224"/>
        <item x="571"/>
        <item x="708"/>
        <item x="116"/>
        <item x="319"/>
        <item x="604"/>
        <item x="823"/>
        <item x="668"/>
        <item x="407"/>
        <item x="488"/>
        <item x="773"/>
        <item x="370"/>
        <item x="422"/>
        <item x="768"/>
        <item x="16"/>
        <item x="289"/>
        <item x="830"/>
        <item x="493"/>
        <item x="203"/>
        <item x="86"/>
        <item x="492"/>
        <item x="196"/>
        <item x="179"/>
        <item x="300"/>
        <item x="622"/>
        <item x="461"/>
        <item x="209"/>
        <item x="632"/>
        <item x="615"/>
        <item x="19"/>
        <item x="193"/>
        <item x="747"/>
        <item x="63"/>
        <item x="343"/>
        <item x="710"/>
        <item x="614"/>
        <item x="619"/>
        <item x="391"/>
        <item x="124"/>
        <item x="61"/>
        <item x="522"/>
        <item x="119"/>
        <item x="757"/>
        <item x="663"/>
        <item x="261"/>
        <item x="636"/>
        <item x="348"/>
        <item x="145"/>
        <item x="385"/>
        <item x="396"/>
        <item x="589"/>
        <item x="15"/>
        <item x="733"/>
        <item x="211"/>
        <item x="311"/>
        <item x="107"/>
        <item x="355"/>
        <item x="244"/>
        <item x="41"/>
        <item x="58"/>
        <item x="627"/>
        <item x="811"/>
        <item x="666"/>
        <item x="686"/>
        <item x="820"/>
        <item x="586"/>
        <item x="377"/>
        <item x="659"/>
        <item x="623"/>
        <item x="675"/>
        <item x="231"/>
        <item x="816"/>
        <item x="54"/>
        <item x="608"/>
        <item x="466"/>
        <item x="786"/>
        <item x="701"/>
        <item x="825"/>
        <item x="291"/>
        <item x="763"/>
        <item x="232"/>
        <item x="513"/>
        <item x="678"/>
        <item x="603"/>
        <item x="259"/>
        <item x="278"/>
        <item x="806"/>
        <item x="281"/>
        <item x="802"/>
        <item x="84"/>
        <item x="136"/>
        <item x="718"/>
        <item x="111"/>
        <item x="299"/>
        <item x="680"/>
        <item x="529"/>
        <item x="29"/>
        <item x="11"/>
        <item x="565"/>
        <item x="613"/>
        <item x="56"/>
        <item x="643"/>
        <item x="390"/>
        <item x="294"/>
        <item x="545"/>
        <item x="308"/>
        <item x="200"/>
        <item x="100"/>
        <item x="503"/>
        <item x="508"/>
        <item x="738"/>
        <item x="700"/>
        <item x="372"/>
        <item x="716"/>
        <item x="631"/>
        <item x="400"/>
        <item x="169"/>
        <item x="132"/>
        <item x="74"/>
        <item x="431"/>
        <item x="590"/>
        <item x="650"/>
        <item x="673"/>
        <item x="843"/>
        <item x="31"/>
        <item x="91"/>
        <item x="89"/>
        <item x="771"/>
        <item x="38"/>
        <item x="810"/>
        <item x="185"/>
        <item x="594"/>
        <item x="106"/>
        <item x="813"/>
        <item x="375"/>
        <item x="598"/>
        <item x="334"/>
        <item x="479"/>
        <item x="125"/>
        <item x="485"/>
        <item x="254"/>
        <item x="160"/>
        <item x="730"/>
        <item x="202"/>
        <item x="620"/>
        <item x="547"/>
        <item x="268"/>
        <item x="576"/>
        <item x="238"/>
        <item x="687"/>
        <item x="637"/>
        <item x="779"/>
        <item x="677"/>
        <item x="139"/>
        <item x="713"/>
        <item x="696"/>
        <item x="611"/>
        <item x="72"/>
        <item x="693"/>
        <item x="104"/>
        <item x="639"/>
        <item x="356"/>
        <item x="275"/>
        <item x="568"/>
        <item x="128"/>
        <item x="23"/>
        <item x="803"/>
        <item x="838"/>
        <item x="357"/>
        <item x="226"/>
        <item x="621"/>
        <item x="167"/>
        <item x="645"/>
        <item x="99"/>
        <item x="190"/>
        <item x="649"/>
        <item x="109"/>
        <item x="444"/>
        <item x="685"/>
        <item x="77"/>
        <item x="505"/>
        <item x="491"/>
        <item x="371"/>
        <item x="448"/>
        <item x="82"/>
        <item x="302"/>
        <item x="605"/>
        <item x="149"/>
        <item x="465"/>
        <item x="249"/>
        <item x="87"/>
        <item x="549"/>
        <item x="349"/>
        <item x="53"/>
        <item x="572"/>
        <item x="561"/>
        <item x="766"/>
        <item x="92"/>
        <item x="85"/>
        <item x="692"/>
        <item x="381"/>
        <item x="607"/>
        <item x="177"/>
        <item x="62"/>
        <item x="569"/>
        <item x="646"/>
        <item x="257"/>
        <item x="425"/>
        <item x="432"/>
        <item x="115"/>
        <item x="471"/>
        <item x="269"/>
        <item x="799"/>
        <item x="170"/>
        <item x="429"/>
        <item x="339"/>
        <item x="463"/>
        <item x="458"/>
        <item x="584"/>
        <item x="651"/>
        <item x="204"/>
        <item x="171"/>
        <item x="247"/>
        <item x="476"/>
        <item x="818"/>
        <item x="369"/>
        <item x="703"/>
        <item x="433"/>
        <item x="764"/>
        <item x="599"/>
        <item x="237"/>
        <item x="752"/>
        <item x="48"/>
        <item x="296"/>
        <item x="353"/>
        <item x="344"/>
        <item x="515"/>
        <item x="67"/>
        <item x="402"/>
        <item x="625"/>
        <item x="743"/>
        <item x="42"/>
        <item x="682"/>
        <item x="221"/>
        <item x="724"/>
        <item x="538"/>
        <item x="582"/>
        <item x="88"/>
        <item x="318"/>
        <item x="285"/>
        <item x="117"/>
        <item x="698"/>
        <item x="173"/>
        <item x="323"/>
        <item x="97"/>
        <item x="707"/>
        <item x="403"/>
        <item x="153"/>
        <item x="494"/>
        <item x="235"/>
        <item x="1"/>
        <item x="655"/>
        <item x="8"/>
        <item x="393"/>
        <item x="559"/>
        <item x="819"/>
        <item x="804"/>
        <item x="413"/>
        <item x="672"/>
        <item x="506"/>
        <item x="530"/>
        <item x="21"/>
        <item x="524"/>
        <item x="134"/>
        <item x="401"/>
        <item x="365"/>
        <item x="449"/>
        <item x="657"/>
        <item x="127"/>
        <item x="359"/>
        <item x="166"/>
        <item x="305"/>
        <item x="445"/>
        <item x="731"/>
        <item x="267"/>
        <item x="834"/>
        <item x="98"/>
        <item x="683"/>
        <item x="175"/>
        <item x="75"/>
        <item x="517"/>
        <item x="142"/>
        <item x="661"/>
        <item x="456"/>
        <item x="379"/>
        <item x="438"/>
        <item x="769"/>
        <item x="762"/>
        <item x="59"/>
        <item x="751"/>
        <item x="720"/>
        <item x="566"/>
        <item x="236"/>
        <item x="665"/>
        <item x="135"/>
        <item x="671"/>
        <item x="70"/>
        <item x="552"/>
        <item x="287"/>
        <item x="667"/>
        <item x="814"/>
        <item x="309"/>
        <item x="656"/>
        <item x="760"/>
        <item x="380"/>
        <item x="829"/>
        <item x="719"/>
        <item x="824"/>
        <item x="711"/>
        <item x="69"/>
        <item x="753"/>
        <item x="81"/>
        <item x="690"/>
        <item x="155"/>
        <item x="392"/>
        <item x="723"/>
        <item x="283"/>
        <item x="78"/>
        <item x="684"/>
        <item x="652"/>
        <item x="292"/>
        <item x="641"/>
        <item x="368"/>
        <item x="574"/>
        <item x="96"/>
        <item x="25"/>
        <item x="122"/>
        <item x="340"/>
        <item x="500"/>
        <item x="420"/>
        <item x="596"/>
        <item x="192"/>
        <item x="417"/>
        <item x="434"/>
        <item x="51"/>
        <item x="213"/>
        <item x="222"/>
        <item x="408"/>
        <item x="550"/>
        <item x="248"/>
        <item x="347"/>
        <item x="316"/>
        <item x="65"/>
        <item x="689"/>
        <item x="462"/>
        <item x="362"/>
        <item x="350"/>
        <item x="5"/>
        <item x="527"/>
        <item x="312"/>
        <item x="367"/>
        <item x="521"/>
        <item x="475"/>
        <item x="778"/>
        <item x="159"/>
        <item x="183"/>
        <item x="509"/>
        <item x="47"/>
        <item x="207"/>
        <item x="428"/>
        <item x="397"/>
        <item x="785"/>
        <item x="218"/>
        <item x="337"/>
        <item x="691"/>
        <item x="600"/>
        <item x="837"/>
        <item x="735"/>
        <item x="239"/>
        <item x="358"/>
        <item x="439"/>
        <item x="378"/>
        <item x="748"/>
        <item x="744"/>
        <item x="414"/>
        <item x="676"/>
        <item x="721"/>
        <item x="555"/>
        <item x="587"/>
        <item x="176"/>
        <item x="832"/>
        <item x="739"/>
        <item x="745"/>
        <item x="822"/>
        <item x="307"/>
        <item x="558"/>
        <item x="260"/>
        <item x="581"/>
        <item x="263"/>
        <item x="205"/>
        <item x="36"/>
        <item x="831"/>
        <item x="548"/>
        <item x="808"/>
        <item x="404"/>
        <item x="258"/>
        <item x="101"/>
        <item x="112"/>
        <item x="777"/>
        <item x="535"/>
        <item x="230"/>
        <item x="714"/>
        <item x="697"/>
        <item x="481"/>
        <item x="532"/>
        <item x="511"/>
        <item x="480"/>
        <item x="320"/>
        <item x="271"/>
        <item x="382"/>
        <item x="255"/>
        <item x="288"/>
        <item x="460"/>
        <item x="775"/>
        <item x="95"/>
        <item x="450"/>
        <item x="45"/>
        <item x="46"/>
        <item x="792"/>
        <item x="335"/>
        <item x="780"/>
        <item x="246"/>
        <item x="277"/>
        <item x="194"/>
        <item x="329"/>
        <item x="182"/>
        <item x="817"/>
        <item x="728"/>
        <item x="749"/>
        <item x="199"/>
        <item x="274"/>
        <item x="523"/>
        <item x="326"/>
        <item x="64"/>
        <item x="704"/>
        <item x="123"/>
        <item x="828"/>
        <item x="4"/>
        <item x="679"/>
        <item x="22"/>
        <item x="313"/>
        <item x="593"/>
        <item x="610"/>
        <item x="437"/>
        <item x="754"/>
        <item x="228"/>
        <item x="629"/>
        <item x="717"/>
        <item x="601"/>
        <item x="502"/>
        <item x="256"/>
        <item x="732"/>
        <item x="776"/>
        <item x="2"/>
        <item x="583"/>
        <item x="20"/>
        <item x="836"/>
        <item x="835"/>
        <item x="50"/>
        <item x="784"/>
        <item x="787"/>
        <item x="421"/>
        <item x="542"/>
        <item x="715"/>
        <item x="807"/>
        <item x="220"/>
        <item x="144"/>
        <item x="212"/>
        <item x="336"/>
        <item x="706"/>
        <item x="113"/>
        <item x="699"/>
        <item x="286"/>
        <item x="79"/>
        <item x="126"/>
        <item x="293"/>
        <item x="801"/>
        <item x="440"/>
        <item x="83"/>
        <item x="322"/>
        <item x="681"/>
        <item x="624"/>
        <item x="76"/>
        <item x="746"/>
        <item x="416"/>
        <item x="788"/>
        <item x="560"/>
        <item x="563"/>
        <item x="727"/>
        <item x="191"/>
        <item x="793"/>
        <item x="264"/>
        <item x="314"/>
        <item x="219"/>
        <item x="789"/>
        <item x="276"/>
        <item x="772"/>
        <item x="577"/>
        <item x="321"/>
        <item x="174"/>
        <item x="725"/>
        <item x="383"/>
        <item x="669"/>
        <item x="499"/>
        <item x="18"/>
        <item x="52"/>
        <item x="795"/>
        <item x="722"/>
        <item x="341"/>
        <item x="662"/>
        <item x="617"/>
        <item x="541"/>
        <item x="9"/>
        <item x="301"/>
        <item x="436"/>
        <item x="781"/>
        <item x="427"/>
        <item x="654"/>
        <item x="612"/>
        <item x="648"/>
        <item x="734"/>
        <item x="473"/>
        <item x="324"/>
        <item x="405"/>
        <item x="805"/>
        <item x="351"/>
        <item x="118"/>
        <item x="253"/>
        <item x="73"/>
        <item x="827"/>
        <item x="591"/>
        <item x="388"/>
        <item x="208"/>
        <item x="3"/>
        <item x="761"/>
        <item x="303"/>
        <item x="482"/>
        <item x="606"/>
        <item x="395"/>
        <item x="121"/>
        <item x="411"/>
        <item x="94"/>
        <item x="180"/>
        <item x="250"/>
        <item x="43"/>
        <item x="130"/>
        <item x="537"/>
        <item x="782"/>
        <item x="497"/>
        <item x="595"/>
        <item x="154"/>
        <item x="674"/>
        <item x="702"/>
        <item x="504"/>
        <item x="790"/>
        <item x="516"/>
        <item x="455"/>
        <item x="695"/>
        <item x="30"/>
        <item x="14"/>
        <item x="791"/>
        <item x="498"/>
        <item x="409"/>
        <item x="188"/>
        <item x="298"/>
        <item x="120"/>
        <item x="216"/>
        <item x="229"/>
        <item x="227"/>
        <item x="178"/>
        <item x="412"/>
        <item x="304"/>
        <item x="338"/>
        <item x="845"/>
        <item x="638"/>
        <item x="102"/>
        <item t="default"/>
      </items>
    </pivotField>
    <pivotField showAll="0"/>
    <pivotField showAll="0">
      <items count="9">
        <item x="1"/>
        <item x="3"/>
        <item x="4"/>
        <item x="5"/>
        <item x="7"/>
        <item x="2"/>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29"/>
    <field x="28"/>
    <field x="27"/>
    <field x="7"/>
  </rowFields>
  <rowItems count="9">
    <i>
      <x v="1"/>
    </i>
    <i>
      <x v="2"/>
    </i>
    <i>
      <x v="3"/>
    </i>
    <i>
      <x v="4"/>
    </i>
    <i>
      <x v="5"/>
    </i>
    <i>
      <x v="6"/>
    </i>
    <i>
      <x v="7"/>
    </i>
    <i>
      <x v="8"/>
    </i>
    <i t="grand">
      <x/>
    </i>
  </rowItems>
  <colItems count="1">
    <i/>
  </colItems>
  <dataFields count="1">
    <dataField name="EMPLOYEE COUNT" fld="0" subtotal="count" baseField="29"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BB6BCB-06CF-43C5-AF46-3D86BBA27A2D}" sourceName="Department">
  <pivotTables>
    <pivotTable tabId="3" name="PivotTable6"/>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s>
  <data>
    <tabular pivotCacheId="712147570">
      <items count="8">
        <i x="4" s="1"/>
        <i x="6" s="1"/>
        <i x="2" s="1"/>
        <i x="0" s="1"/>
        <i x="5" s="1"/>
        <i x="3"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64F805-B9E4-453B-BDD1-B1257DC33BAD}" sourceName="City">
  <pivotTables>
    <pivotTable tabId="3" name="PivotTable6"/>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s>
  <data>
    <tabular pivotCacheId="712147570">
      <items count="8">
        <i x="1" s="1"/>
        <i x="3" s="1"/>
        <i x="4" s="1"/>
        <i x="5" s="1"/>
        <i x="7"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1E2F12-4477-4709-8F1E-5CB0C921D498}" sourceName="Gender">
  <pivotTables>
    <pivotTable tabId="3" name="PivotTable6"/>
    <pivotTable tabId="3" name="PivotTable1"/>
    <pivotTable tabId="3" name="PivotTable10"/>
    <pivotTable tabId="3" name="PivotTable11"/>
    <pivotTable tabId="3" name="PivotTable12"/>
    <pivotTable tabId="3" name="PivotTable13"/>
    <pivotTable tabId="3" name="PivotTable2"/>
    <pivotTable tabId="3" name="PivotTable4"/>
    <pivotTable tabId="3" name="PivotTable5"/>
    <pivotTable tabId="3" name="PivotTable7"/>
    <pivotTable tabId="3" name="PivotTable8"/>
    <pivotTable tabId="3" name="PivotTable9"/>
  </pivotTables>
  <data>
    <tabular pivotCacheId="7121475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720007B-1D37-46D2-A3A0-CEEA0E7F77F2}" cache="Slicer_Department" caption="Department" columnCount="4" style="Slicer Style 4" rowHeight="234950"/>
  <slicer name="City" xr10:uid="{24147971-6F4F-43CC-89DA-ED19A9A5D876}" cache="Slicer_City" caption="City" style="Slicer Style 4" rowHeight="234950"/>
  <slicer name="Gender" xr10:uid="{A37EAA16-1240-4135-A06B-6FC061672181}" cache="Slicer_Gender" caption="Gender"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9DFCAA-9611-4723-9B48-D2CF265EFD6E}" name="HR_TABLE" displayName="HR_TABLE" ref="A1:AA1001" totalsRowShown="0" headerRowDxfId="21" headerRowBorderDxfId="20" tableBorderDxfId="19">
  <autoFilter ref="A1:AA1001" xr:uid="{4F9DFCAA-9611-4723-9B48-D2CF265EFD6E}"/>
  <tableColumns count="27">
    <tableColumn id="1" xr3:uid="{E26AA59C-C13B-4D71-8E81-B866C681C89D}" name="Employee ID"/>
    <tableColumn id="2" xr3:uid="{ED37F2CD-9B96-4A71-8C81-330BA28CFD9A}" name="Gender"/>
    <tableColumn id="3" xr3:uid="{8B7C9403-52F1-40D3-A082-C39FF981E9D0}" name="Age"/>
    <tableColumn id="4" xr3:uid="{B2B6C02E-C78D-463B-BB45-CCE6BB0A0E39}" name="Department"/>
    <tableColumn id="5" xr3:uid="{4BBA1BC6-B6E4-44D6-8637-C7B6864C08C7}" name="Job Role"/>
    <tableColumn id="6" xr3:uid="{7206E208-6612-4E01-B5D0-BB4453C6F887}" name="Job Level"/>
    <tableColumn id="7" xr3:uid="{8A215629-8BB0-49B7-B8AC-08B61DB032B0}" name="Monthly Salary"/>
    <tableColumn id="8" xr3:uid="{93E3E92A-F6B7-4EB8-BF1B-ED2FB0EE6658}" name="Hire Date" dataDxfId="18"/>
    <tableColumn id="9" xr3:uid="{67218232-26F7-4DBE-AF64-F393A136FEE1}" name="Education"/>
    <tableColumn id="10" xr3:uid="{F909198C-EA4C-4373-8ABA-0A819E11B1BD}" name="City"/>
    <tableColumn id="11" xr3:uid="{2B3333AB-3B34-44A7-B9AE-6450ECB41B89}" name="Marital Status"/>
    <tableColumn id="12" xr3:uid="{43D5B14B-7D09-45D1-AD1A-7885FC084705}" name="Years of Experience"/>
    <tableColumn id="13" xr3:uid="{4C118FC5-BBEC-49EE-9C0A-5CE411E85778}" name="Job Satisfaction"/>
    <tableColumn id="14" xr3:uid="{18B7DD75-F911-4E87-9342-717BE0BDA1B6}" name="Work Life Balance"/>
    <tableColumn id="15" xr3:uid="{467BC189-C0D0-4ECD-8108-582697949B8F}" name="Performance Rating"/>
    <tableColumn id="16" xr3:uid="{C061310F-2C23-497D-84F5-6C9CB8ECB482}" name="Overtime"/>
    <tableColumn id="17" xr3:uid="{619FD389-80E7-4907-995F-7129A8A4CEE0}" name="Monthly Hours"/>
    <tableColumn id="18" xr3:uid="{0AB240E3-F416-4543-81AE-D5780A0C14CA}" name="Training Hours"/>
    <tableColumn id="19" xr3:uid="{5BDA43C1-2996-421C-AAEF-66BE6E291329}" name="Leave Days"/>
    <tableColumn id="20" xr3:uid="{A6810955-2E7F-43D5-B3EA-21F5EB598649}" name="Remote Work"/>
    <tableColumn id="21" xr3:uid="{544DA357-83E7-4F63-82B9-2A2BF2351F5B}" name="Promotion in Last 2 Years"/>
    <tableColumn id="22" xr3:uid="{B4751E5C-A1C1-4B76-89F4-720474AB3726}" name="Attrition"/>
    <tableColumn id="23" xr3:uid="{A5DCE109-E06B-41DF-AD93-CDA69A46DC19}" name="Employment Status"/>
    <tableColumn id="24" xr3:uid="{D01B5A50-8B05-4893-BE44-84B7EAE11F4F}" name="Hire Year"/>
    <tableColumn id="25" xr3:uid="{548180B9-5DFB-421F-BDEA-6EEE3CF0BFA6}" name="Hire Month"/>
    <tableColumn id="26" xr3:uid="{73F51C64-6739-4B46-B088-02EEFC693655}" name="Age Group"/>
    <tableColumn id="27" xr3:uid="{36849B8B-6A56-41E0-85E3-4DA828F959CD}" name="Salary Ban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C3ACD4-952A-411C-BB3E-B7E48922AC9B}">
  <we:reference id="wa104381701" version="1.0.0.4" store="en-US" storeType="OMEX"/>
  <we:alternateReferences>
    <we:reference id="WA104381701" version="1.0.0.4" store="WA10438170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opLeftCell="A2" workbookViewId="0">
      <selection activeCell="E7" sqref="A2:AA1001"/>
    </sheetView>
  </sheetViews>
  <sheetFormatPr defaultRowHeight="14.4" x14ac:dyDescent="0.3"/>
  <cols>
    <col min="1" max="1" width="13.44140625" customWidth="1"/>
    <col min="2" max="2" width="9" customWidth="1"/>
    <col min="4" max="4" width="15.21875" bestFit="1" customWidth="1"/>
    <col min="5" max="5" width="27.88671875" bestFit="1" customWidth="1"/>
    <col min="6" max="6" width="10.5546875" customWidth="1"/>
    <col min="7" max="7" width="15.6640625" customWidth="1"/>
    <col min="8" max="8" width="10.5546875" customWidth="1"/>
    <col min="9" max="9" width="11.33203125" customWidth="1"/>
    <col min="10" max="10" width="13.5546875" bestFit="1" customWidth="1"/>
    <col min="11" max="11" width="14.5546875" customWidth="1"/>
    <col min="12" max="12" width="19.109375" customWidth="1"/>
    <col min="13" max="13" width="16" customWidth="1"/>
    <col min="14" max="14" width="17.88671875" customWidth="1"/>
    <col min="15" max="15" width="19.5546875" customWidth="1"/>
    <col min="16" max="16" width="10.6640625" customWidth="1"/>
    <col min="17" max="17" width="15.44140625" customWidth="1"/>
    <col min="18" max="18" width="15" customWidth="1"/>
    <col min="19" max="19" width="12.21875" customWidth="1"/>
    <col min="20" max="20" width="14.44140625" customWidth="1"/>
    <col min="21" max="21" width="24" customWidth="1"/>
    <col min="22" max="22" width="9.88671875" customWidth="1"/>
    <col min="23" max="23" width="19.33203125" customWidth="1"/>
    <col min="24" max="24" width="10.33203125" customWidth="1"/>
    <col min="25" max="25" width="12.44140625" customWidth="1"/>
    <col min="26" max="26" width="11.77734375" customWidth="1"/>
    <col min="27" max="27" width="12.77734375" customWidth="1"/>
  </cols>
  <sheetData>
    <row r="1" spans="1:2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3">
      <c r="A2" t="s">
        <v>27</v>
      </c>
      <c r="B2" t="s">
        <v>28</v>
      </c>
      <c r="C2">
        <v>35</v>
      </c>
      <c r="D2" t="s">
        <v>29</v>
      </c>
      <c r="E2" t="s">
        <v>30</v>
      </c>
      <c r="F2" t="s">
        <v>31</v>
      </c>
      <c r="G2">
        <v>49314</v>
      </c>
      <c r="H2" s="1">
        <v>43885</v>
      </c>
      <c r="I2" t="s">
        <v>32</v>
      </c>
      <c r="J2" t="s">
        <v>33</v>
      </c>
      <c r="K2" t="s">
        <v>34</v>
      </c>
      <c r="L2">
        <v>3</v>
      </c>
      <c r="M2">
        <v>5</v>
      </c>
      <c r="N2">
        <v>1</v>
      </c>
      <c r="O2" t="s">
        <v>35</v>
      </c>
      <c r="P2" t="s">
        <v>36</v>
      </c>
      <c r="Q2">
        <v>204</v>
      </c>
      <c r="R2">
        <v>76</v>
      </c>
      <c r="S2">
        <v>8</v>
      </c>
      <c r="T2" t="s">
        <v>36</v>
      </c>
      <c r="U2" t="s">
        <v>37</v>
      </c>
      <c r="V2" t="s">
        <v>37</v>
      </c>
      <c r="W2" t="s">
        <v>38</v>
      </c>
      <c r="X2">
        <v>2020</v>
      </c>
      <c r="Y2" t="s">
        <v>39</v>
      </c>
      <c r="Z2" t="s">
        <v>40</v>
      </c>
      <c r="AA2" t="s">
        <v>41</v>
      </c>
    </row>
    <row r="3" spans="1:27" x14ac:dyDescent="0.3">
      <c r="A3" t="s">
        <v>42</v>
      </c>
      <c r="B3" t="s">
        <v>43</v>
      </c>
      <c r="C3">
        <v>31</v>
      </c>
      <c r="D3" t="s">
        <v>44</v>
      </c>
      <c r="E3" t="s">
        <v>45</v>
      </c>
      <c r="F3" t="s">
        <v>46</v>
      </c>
      <c r="G3">
        <v>65425</v>
      </c>
      <c r="H3" s="1">
        <v>45197</v>
      </c>
      <c r="I3" t="s">
        <v>47</v>
      </c>
      <c r="J3" t="s">
        <v>48</v>
      </c>
      <c r="K3" t="s">
        <v>49</v>
      </c>
      <c r="L3">
        <v>7</v>
      </c>
      <c r="M3">
        <v>3</v>
      </c>
      <c r="N3">
        <v>3</v>
      </c>
      <c r="O3" t="s">
        <v>50</v>
      </c>
      <c r="P3" t="s">
        <v>37</v>
      </c>
      <c r="Q3">
        <v>177</v>
      </c>
      <c r="R3">
        <v>38</v>
      </c>
      <c r="S3">
        <v>27</v>
      </c>
      <c r="T3" t="s">
        <v>37</v>
      </c>
      <c r="U3" t="s">
        <v>36</v>
      </c>
      <c r="V3" t="s">
        <v>37</v>
      </c>
      <c r="W3" t="s">
        <v>38</v>
      </c>
      <c r="X3">
        <v>2023</v>
      </c>
      <c r="Y3" t="s">
        <v>51</v>
      </c>
      <c r="Z3" t="s">
        <v>40</v>
      </c>
      <c r="AA3" t="s">
        <v>52</v>
      </c>
    </row>
    <row r="4" spans="1:27" x14ac:dyDescent="0.3">
      <c r="A4" t="s">
        <v>53</v>
      </c>
      <c r="B4" t="s">
        <v>43</v>
      </c>
      <c r="C4">
        <v>36</v>
      </c>
      <c r="D4" t="s">
        <v>54</v>
      </c>
      <c r="E4" t="s">
        <v>55</v>
      </c>
      <c r="F4" t="s">
        <v>56</v>
      </c>
      <c r="G4">
        <v>37606</v>
      </c>
      <c r="H4" s="1">
        <v>45830</v>
      </c>
      <c r="I4" t="s">
        <v>57</v>
      </c>
      <c r="J4" t="s">
        <v>33</v>
      </c>
      <c r="K4" t="s">
        <v>58</v>
      </c>
      <c r="L4">
        <v>2</v>
      </c>
      <c r="M4">
        <v>2</v>
      </c>
      <c r="N4">
        <v>1</v>
      </c>
      <c r="O4" t="s">
        <v>59</v>
      </c>
      <c r="P4" t="s">
        <v>37</v>
      </c>
      <c r="Q4">
        <v>234</v>
      </c>
      <c r="R4">
        <v>40</v>
      </c>
      <c r="S4">
        <v>16</v>
      </c>
      <c r="T4" t="s">
        <v>36</v>
      </c>
      <c r="U4" t="s">
        <v>36</v>
      </c>
      <c r="V4" t="s">
        <v>36</v>
      </c>
      <c r="W4" t="s">
        <v>60</v>
      </c>
      <c r="X4">
        <v>2025</v>
      </c>
      <c r="Y4" t="s">
        <v>61</v>
      </c>
      <c r="Z4" t="s">
        <v>62</v>
      </c>
      <c r="AA4" t="s">
        <v>63</v>
      </c>
    </row>
    <row r="5" spans="1:27" x14ac:dyDescent="0.3">
      <c r="A5" t="s">
        <v>64</v>
      </c>
      <c r="B5" t="s">
        <v>28</v>
      </c>
      <c r="C5">
        <v>42</v>
      </c>
      <c r="D5" t="s">
        <v>65</v>
      </c>
      <c r="E5" t="s">
        <v>66</v>
      </c>
      <c r="F5" t="s">
        <v>31</v>
      </c>
      <c r="G5">
        <v>63960</v>
      </c>
      <c r="H5" s="1">
        <v>46120</v>
      </c>
      <c r="I5" t="s">
        <v>47</v>
      </c>
      <c r="J5" t="s">
        <v>67</v>
      </c>
      <c r="K5" t="s">
        <v>34</v>
      </c>
      <c r="L5">
        <v>4</v>
      </c>
      <c r="M5">
        <v>1</v>
      </c>
      <c r="N5">
        <v>5</v>
      </c>
      <c r="O5" t="s">
        <v>68</v>
      </c>
      <c r="P5" t="s">
        <v>36</v>
      </c>
      <c r="Q5">
        <v>171</v>
      </c>
      <c r="R5">
        <v>46</v>
      </c>
      <c r="S5">
        <v>28</v>
      </c>
      <c r="T5" t="s">
        <v>37</v>
      </c>
      <c r="U5" t="s">
        <v>36</v>
      </c>
      <c r="V5" t="s">
        <v>36</v>
      </c>
      <c r="W5" t="s">
        <v>60</v>
      </c>
      <c r="X5">
        <v>2026</v>
      </c>
      <c r="Y5" t="s">
        <v>69</v>
      </c>
      <c r="Z5" t="s">
        <v>70</v>
      </c>
      <c r="AA5" t="s">
        <v>52</v>
      </c>
    </row>
    <row r="6" spans="1:27" x14ac:dyDescent="0.3">
      <c r="A6" t="s">
        <v>71</v>
      </c>
      <c r="B6" t="s">
        <v>28</v>
      </c>
      <c r="C6">
        <v>30</v>
      </c>
      <c r="D6" t="s">
        <v>65</v>
      </c>
      <c r="E6" t="s">
        <v>72</v>
      </c>
      <c r="F6" t="s">
        <v>46</v>
      </c>
      <c r="G6">
        <v>69337</v>
      </c>
      <c r="H6" s="1">
        <v>45789</v>
      </c>
      <c r="I6" t="s">
        <v>47</v>
      </c>
      <c r="J6" t="s">
        <v>73</v>
      </c>
      <c r="K6" t="s">
        <v>49</v>
      </c>
      <c r="L6">
        <v>8</v>
      </c>
      <c r="M6">
        <v>3</v>
      </c>
      <c r="N6">
        <v>2</v>
      </c>
      <c r="O6" t="s">
        <v>68</v>
      </c>
      <c r="P6" t="s">
        <v>36</v>
      </c>
      <c r="Q6">
        <v>213</v>
      </c>
      <c r="R6">
        <v>36</v>
      </c>
      <c r="S6">
        <v>25</v>
      </c>
      <c r="T6" t="s">
        <v>36</v>
      </c>
      <c r="U6" t="s">
        <v>36</v>
      </c>
      <c r="V6" t="s">
        <v>36</v>
      </c>
      <c r="W6" t="s">
        <v>60</v>
      </c>
      <c r="X6">
        <v>2025</v>
      </c>
      <c r="Y6" t="s">
        <v>74</v>
      </c>
      <c r="Z6" t="s">
        <v>75</v>
      </c>
      <c r="AA6" t="s">
        <v>52</v>
      </c>
    </row>
    <row r="7" spans="1:27" x14ac:dyDescent="0.3">
      <c r="A7" t="s">
        <v>76</v>
      </c>
      <c r="B7" t="s">
        <v>43</v>
      </c>
      <c r="C7">
        <v>30</v>
      </c>
      <c r="D7" t="s">
        <v>77</v>
      </c>
      <c r="E7" t="s">
        <v>78</v>
      </c>
      <c r="F7" t="s">
        <v>31</v>
      </c>
      <c r="G7">
        <v>46532</v>
      </c>
      <c r="H7" s="1">
        <v>45487</v>
      </c>
      <c r="I7" t="s">
        <v>47</v>
      </c>
      <c r="J7" t="s">
        <v>48</v>
      </c>
      <c r="K7" t="s">
        <v>49</v>
      </c>
      <c r="L7">
        <v>6</v>
      </c>
      <c r="M7">
        <v>1</v>
      </c>
      <c r="N7">
        <v>1</v>
      </c>
      <c r="O7" t="s">
        <v>59</v>
      </c>
      <c r="P7" t="s">
        <v>37</v>
      </c>
      <c r="Q7">
        <v>169</v>
      </c>
      <c r="R7">
        <v>64</v>
      </c>
      <c r="S7">
        <v>18</v>
      </c>
      <c r="T7" t="s">
        <v>36</v>
      </c>
      <c r="U7" t="s">
        <v>36</v>
      </c>
      <c r="V7" t="s">
        <v>36</v>
      </c>
      <c r="W7" t="s">
        <v>60</v>
      </c>
      <c r="X7">
        <v>2024</v>
      </c>
      <c r="Y7" t="s">
        <v>79</v>
      </c>
      <c r="Z7" t="s">
        <v>75</v>
      </c>
      <c r="AA7" t="s">
        <v>41</v>
      </c>
    </row>
    <row r="8" spans="1:27" x14ac:dyDescent="0.3">
      <c r="A8" t="s">
        <v>80</v>
      </c>
      <c r="B8" t="s">
        <v>28</v>
      </c>
      <c r="C8">
        <v>43</v>
      </c>
      <c r="D8" t="s">
        <v>81</v>
      </c>
      <c r="E8" t="s">
        <v>82</v>
      </c>
      <c r="F8" t="s">
        <v>56</v>
      </c>
      <c r="G8">
        <v>37617</v>
      </c>
      <c r="H8" s="1">
        <v>44113</v>
      </c>
      <c r="I8" t="s">
        <v>32</v>
      </c>
      <c r="J8" t="s">
        <v>48</v>
      </c>
      <c r="K8" t="s">
        <v>34</v>
      </c>
      <c r="L8">
        <v>3</v>
      </c>
      <c r="M8">
        <v>4</v>
      </c>
      <c r="N8">
        <v>1</v>
      </c>
      <c r="O8" t="s">
        <v>50</v>
      </c>
      <c r="P8" t="s">
        <v>36</v>
      </c>
      <c r="Q8">
        <v>242</v>
      </c>
      <c r="R8">
        <v>69</v>
      </c>
      <c r="S8">
        <v>21</v>
      </c>
      <c r="T8" t="s">
        <v>37</v>
      </c>
      <c r="U8" t="s">
        <v>36</v>
      </c>
      <c r="V8" t="s">
        <v>36</v>
      </c>
      <c r="W8" t="s">
        <v>60</v>
      </c>
      <c r="X8">
        <v>2020</v>
      </c>
      <c r="Y8" t="s">
        <v>83</v>
      </c>
      <c r="Z8" t="s">
        <v>70</v>
      </c>
      <c r="AA8" t="s">
        <v>63</v>
      </c>
    </row>
    <row r="9" spans="1:27" x14ac:dyDescent="0.3">
      <c r="A9" t="s">
        <v>84</v>
      </c>
      <c r="B9" t="s">
        <v>43</v>
      </c>
      <c r="C9">
        <v>37</v>
      </c>
      <c r="D9" t="s">
        <v>85</v>
      </c>
      <c r="E9" t="s">
        <v>86</v>
      </c>
      <c r="F9" t="s">
        <v>46</v>
      </c>
      <c r="G9">
        <v>97021</v>
      </c>
      <c r="H9" s="1">
        <v>43924</v>
      </c>
      <c r="I9" t="s">
        <v>57</v>
      </c>
      <c r="J9" t="s">
        <v>48</v>
      </c>
      <c r="K9" t="s">
        <v>34</v>
      </c>
      <c r="L9">
        <v>5</v>
      </c>
      <c r="M9">
        <v>3</v>
      </c>
      <c r="N9">
        <v>3</v>
      </c>
      <c r="O9" t="s">
        <v>59</v>
      </c>
      <c r="P9" t="s">
        <v>37</v>
      </c>
      <c r="Q9">
        <v>157</v>
      </c>
      <c r="R9">
        <v>13</v>
      </c>
      <c r="S9">
        <v>26</v>
      </c>
      <c r="T9" t="s">
        <v>36</v>
      </c>
      <c r="U9" t="s">
        <v>36</v>
      </c>
      <c r="V9" t="s">
        <v>36</v>
      </c>
      <c r="W9" t="s">
        <v>60</v>
      </c>
      <c r="X9">
        <v>2020</v>
      </c>
      <c r="Y9" t="s">
        <v>69</v>
      </c>
      <c r="Z9" t="s">
        <v>62</v>
      </c>
      <c r="AA9" t="s">
        <v>87</v>
      </c>
    </row>
    <row r="10" spans="1:27" x14ac:dyDescent="0.3">
      <c r="A10" t="s">
        <v>88</v>
      </c>
      <c r="B10" t="s">
        <v>28</v>
      </c>
      <c r="C10">
        <v>28</v>
      </c>
      <c r="D10" t="s">
        <v>89</v>
      </c>
      <c r="E10" t="s">
        <v>90</v>
      </c>
      <c r="F10" t="s">
        <v>46</v>
      </c>
      <c r="G10">
        <v>99581</v>
      </c>
      <c r="H10" s="1">
        <v>45199</v>
      </c>
      <c r="I10" t="s">
        <v>47</v>
      </c>
      <c r="J10" t="s">
        <v>91</v>
      </c>
      <c r="K10" t="s">
        <v>49</v>
      </c>
      <c r="L10">
        <v>14</v>
      </c>
      <c r="M10">
        <v>2</v>
      </c>
      <c r="N10">
        <v>5</v>
      </c>
      <c r="O10" t="s">
        <v>59</v>
      </c>
      <c r="P10" t="s">
        <v>36</v>
      </c>
      <c r="Q10">
        <v>238</v>
      </c>
      <c r="R10">
        <v>20</v>
      </c>
      <c r="S10">
        <v>9</v>
      </c>
      <c r="T10" t="s">
        <v>37</v>
      </c>
      <c r="U10" t="s">
        <v>36</v>
      </c>
      <c r="V10" t="s">
        <v>36</v>
      </c>
      <c r="W10" t="s">
        <v>60</v>
      </c>
      <c r="X10">
        <v>2023</v>
      </c>
      <c r="Y10" t="s">
        <v>51</v>
      </c>
      <c r="Z10" t="s">
        <v>75</v>
      </c>
      <c r="AA10" t="s">
        <v>87</v>
      </c>
    </row>
    <row r="11" spans="1:27" x14ac:dyDescent="0.3">
      <c r="A11" t="s">
        <v>92</v>
      </c>
      <c r="B11" t="s">
        <v>43</v>
      </c>
      <c r="C11">
        <v>35</v>
      </c>
      <c r="D11" t="s">
        <v>29</v>
      </c>
      <c r="E11" t="s">
        <v>93</v>
      </c>
      <c r="F11" t="s">
        <v>31</v>
      </c>
      <c r="G11">
        <v>42235</v>
      </c>
      <c r="H11" s="1">
        <v>46050</v>
      </c>
      <c r="I11" t="s">
        <v>32</v>
      </c>
      <c r="J11" t="s">
        <v>67</v>
      </c>
      <c r="K11" t="s">
        <v>34</v>
      </c>
      <c r="L11">
        <v>2</v>
      </c>
      <c r="M11">
        <v>1</v>
      </c>
      <c r="N11">
        <v>2</v>
      </c>
      <c r="O11" t="s">
        <v>59</v>
      </c>
      <c r="P11" t="s">
        <v>37</v>
      </c>
      <c r="Q11">
        <v>154</v>
      </c>
      <c r="R11">
        <v>32</v>
      </c>
      <c r="S11">
        <v>19</v>
      </c>
      <c r="T11" t="s">
        <v>37</v>
      </c>
      <c r="U11" t="s">
        <v>36</v>
      </c>
      <c r="V11" t="s">
        <v>37</v>
      </c>
      <c r="W11" t="s">
        <v>38</v>
      </c>
      <c r="X11">
        <v>2026</v>
      </c>
      <c r="Y11" t="s">
        <v>94</v>
      </c>
      <c r="Z11" t="s">
        <v>40</v>
      </c>
      <c r="AA11" t="s">
        <v>41</v>
      </c>
    </row>
    <row r="12" spans="1:27" x14ac:dyDescent="0.3">
      <c r="A12" t="s">
        <v>95</v>
      </c>
      <c r="B12" t="s">
        <v>43</v>
      </c>
      <c r="C12">
        <v>28</v>
      </c>
      <c r="D12" t="s">
        <v>44</v>
      </c>
      <c r="E12" t="s">
        <v>45</v>
      </c>
      <c r="F12" t="s">
        <v>96</v>
      </c>
      <c r="G12">
        <v>114957</v>
      </c>
      <c r="H12" s="1">
        <v>43863</v>
      </c>
      <c r="I12" t="s">
        <v>57</v>
      </c>
      <c r="J12" t="s">
        <v>48</v>
      </c>
      <c r="K12" t="s">
        <v>58</v>
      </c>
      <c r="L12">
        <v>9</v>
      </c>
      <c r="M12">
        <v>4</v>
      </c>
      <c r="N12">
        <v>3</v>
      </c>
      <c r="O12" t="s">
        <v>59</v>
      </c>
      <c r="P12" t="s">
        <v>36</v>
      </c>
      <c r="Q12">
        <v>202</v>
      </c>
      <c r="R12">
        <v>48</v>
      </c>
      <c r="S12">
        <v>27</v>
      </c>
      <c r="T12" t="s">
        <v>37</v>
      </c>
      <c r="U12" t="s">
        <v>36</v>
      </c>
      <c r="V12" t="s">
        <v>36</v>
      </c>
      <c r="W12" t="s">
        <v>60</v>
      </c>
      <c r="X12">
        <v>2020</v>
      </c>
      <c r="Y12" t="s">
        <v>39</v>
      </c>
      <c r="Z12" t="s">
        <v>75</v>
      </c>
      <c r="AA12" t="s">
        <v>87</v>
      </c>
    </row>
    <row r="13" spans="1:27" x14ac:dyDescent="0.3">
      <c r="A13" t="s">
        <v>97</v>
      </c>
      <c r="B13" t="s">
        <v>28</v>
      </c>
      <c r="C13">
        <v>28</v>
      </c>
      <c r="D13" t="s">
        <v>44</v>
      </c>
      <c r="E13" t="s">
        <v>45</v>
      </c>
      <c r="F13" t="s">
        <v>31</v>
      </c>
      <c r="G13">
        <v>55824</v>
      </c>
      <c r="H13" s="1">
        <v>44606</v>
      </c>
      <c r="I13" t="s">
        <v>98</v>
      </c>
      <c r="J13" t="s">
        <v>99</v>
      </c>
      <c r="K13" t="s">
        <v>58</v>
      </c>
      <c r="L13">
        <v>3</v>
      </c>
      <c r="M13">
        <v>4</v>
      </c>
      <c r="N13">
        <v>2</v>
      </c>
      <c r="O13" t="s">
        <v>68</v>
      </c>
      <c r="P13" t="s">
        <v>37</v>
      </c>
      <c r="Q13">
        <v>206</v>
      </c>
      <c r="R13">
        <v>26</v>
      </c>
      <c r="S13">
        <v>15</v>
      </c>
      <c r="T13" t="s">
        <v>36</v>
      </c>
      <c r="U13" t="s">
        <v>37</v>
      </c>
      <c r="V13" t="s">
        <v>37</v>
      </c>
      <c r="W13" t="s">
        <v>38</v>
      </c>
      <c r="X13">
        <v>2022</v>
      </c>
      <c r="Y13" t="s">
        <v>39</v>
      </c>
      <c r="Z13" t="s">
        <v>75</v>
      </c>
      <c r="AA13" t="s">
        <v>41</v>
      </c>
    </row>
    <row r="14" spans="1:27" x14ac:dyDescent="0.3">
      <c r="A14" t="s">
        <v>100</v>
      </c>
      <c r="B14" t="s">
        <v>43</v>
      </c>
      <c r="C14">
        <v>33</v>
      </c>
      <c r="D14" t="s">
        <v>44</v>
      </c>
      <c r="E14" t="s">
        <v>45</v>
      </c>
      <c r="F14" t="s">
        <v>56</v>
      </c>
      <c r="G14">
        <v>33394</v>
      </c>
      <c r="H14" s="1">
        <v>43474</v>
      </c>
      <c r="I14" t="s">
        <v>98</v>
      </c>
      <c r="J14" t="s">
        <v>101</v>
      </c>
      <c r="K14" t="s">
        <v>58</v>
      </c>
      <c r="L14">
        <v>3</v>
      </c>
      <c r="M14">
        <v>4</v>
      </c>
      <c r="N14">
        <v>3</v>
      </c>
      <c r="O14" t="s">
        <v>68</v>
      </c>
      <c r="P14" t="s">
        <v>36</v>
      </c>
      <c r="Q14">
        <v>186</v>
      </c>
      <c r="R14">
        <v>42</v>
      </c>
      <c r="S14">
        <v>8</v>
      </c>
      <c r="T14" t="s">
        <v>37</v>
      </c>
      <c r="U14" t="s">
        <v>36</v>
      </c>
      <c r="V14" t="s">
        <v>36</v>
      </c>
      <c r="W14" t="s">
        <v>60</v>
      </c>
      <c r="X14">
        <v>2019</v>
      </c>
      <c r="Y14" t="s">
        <v>94</v>
      </c>
      <c r="Z14" t="s">
        <v>40</v>
      </c>
      <c r="AA14" t="s">
        <v>63</v>
      </c>
    </row>
    <row r="15" spans="1:27" x14ac:dyDescent="0.3">
      <c r="A15" t="s">
        <v>102</v>
      </c>
      <c r="B15" t="s">
        <v>43</v>
      </c>
      <c r="C15">
        <v>21</v>
      </c>
      <c r="D15" t="s">
        <v>29</v>
      </c>
      <c r="E15" t="s">
        <v>103</v>
      </c>
      <c r="F15" t="s">
        <v>96</v>
      </c>
      <c r="G15">
        <v>155909</v>
      </c>
      <c r="H15" s="1">
        <v>44110</v>
      </c>
      <c r="I15" t="s">
        <v>57</v>
      </c>
      <c r="J15" t="s">
        <v>33</v>
      </c>
      <c r="K15" t="s">
        <v>49</v>
      </c>
      <c r="L15">
        <v>16</v>
      </c>
      <c r="M15">
        <v>1</v>
      </c>
      <c r="N15">
        <v>5</v>
      </c>
      <c r="O15" t="s">
        <v>35</v>
      </c>
      <c r="P15" t="s">
        <v>37</v>
      </c>
      <c r="Q15">
        <v>258</v>
      </c>
      <c r="R15">
        <v>77</v>
      </c>
      <c r="S15">
        <v>9</v>
      </c>
      <c r="T15" t="s">
        <v>36</v>
      </c>
      <c r="U15" t="s">
        <v>36</v>
      </c>
      <c r="V15" t="s">
        <v>37</v>
      </c>
      <c r="W15" t="s">
        <v>38</v>
      </c>
      <c r="X15">
        <v>2020</v>
      </c>
      <c r="Y15" t="s">
        <v>83</v>
      </c>
      <c r="Z15" t="s">
        <v>104</v>
      </c>
      <c r="AA15" t="s">
        <v>105</v>
      </c>
    </row>
    <row r="16" spans="1:27" x14ac:dyDescent="0.3">
      <c r="A16" t="s">
        <v>106</v>
      </c>
      <c r="B16" t="s">
        <v>28</v>
      </c>
      <c r="C16">
        <v>21</v>
      </c>
      <c r="D16" t="s">
        <v>54</v>
      </c>
      <c r="E16" t="s">
        <v>55</v>
      </c>
      <c r="F16" t="s">
        <v>46</v>
      </c>
      <c r="G16">
        <v>82089</v>
      </c>
      <c r="H16" s="1">
        <v>46209</v>
      </c>
      <c r="I16" t="s">
        <v>107</v>
      </c>
      <c r="J16" t="s">
        <v>101</v>
      </c>
      <c r="K16" t="s">
        <v>49</v>
      </c>
      <c r="L16">
        <v>8</v>
      </c>
      <c r="M16">
        <v>3</v>
      </c>
      <c r="N16">
        <v>2</v>
      </c>
      <c r="O16" t="s">
        <v>35</v>
      </c>
      <c r="P16" t="s">
        <v>36</v>
      </c>
      <c r="Q16">
        <v>200</v>
      </c>
      <c r="R16">
        <v>6</v>
      </c>
      <c r="S16">
        <v>16</v>
      </c>
      <c r="T16" t="s">
        <v>36</v>
      </c>
      <c r="U16" t="s">
        <v>36</v>
      </c>
      <c r="V16" t="s">
        <v>36</v>
      </c>
      <c r="W16" t="s">
        <v>60</v>
      </c>
      <c r="X16">
        <v>2026</v>
      </c>
      <c r="Y16" t="s">
        <v>79</v>
      </c>
      <c r="Z16" t="s">
        <v>104</v>
      </c>
      <c r="AA16" t="s">
        <v>52</v>
      </c>
    </row>
    <row r="17" spans="1:27" x14ac:dyDescent="0.3">
      <c r="A17" t="s">
        <v>108</v>
      </c>
      <c r="B17" t="s">
        <v>28</v>
      </c>
      <c r="C17">
        <v>28</v>
      </c>
      <c r="D17" t="s">
        <v>44</v>
      </c>
      <c r="E17" t="s">
        <v>109</v>
      </c>
      <c r="F17" t="s">
        <v>31</v>
      </c>
      <c r="G17">
        <v>53436</v>
      </c>
      <c r="H17" s="1">
        <v>44466</v>
      </c>
      <c r="I17" t="s">
        <v>98</v>
      </c>
      <c r="J17" t="s">
        <v>99</v>
      </c>
      <c r="K17" t="s">
        <v>34</v>
      </c>
      <c r="L17">
        <v>2</v>
      </c>
      <c r="M17">
        <v>3</v>
      </c>
      <c r="N17">
        <v>3</v>
      </c>
      <c r="O17" t="s">
        <v>50</v>
      </c>
      <c r="P17" t="s">
        <v>37</v>
      </c>
      <c r="Q17">
        <v>206</v>
      </c>
      <c r="R17">
        <v>18</v>
      </c>
      <c r="S17">
        <v>30</v>
      </c>
      <c r="T17" t="s">
        <v>37</v>
      </c>
      <c r="U17" t="s">
        <v>36</v>
      </c>
      <c r="V17" t="s">
        <v>36</v>
      </c>
      <c r="W17" t="s">
        <v>60</v>
      </c>
      <c r="X17">
        <v>2021</v>
      </c>
      <c r="Y17" t="s">
        <v>51</v>
      </c>
      <c r="Z17" t="s">
        <v>75</v>
      </c>
      <c r="AA17" t="s">
        <v>41</v>
      </c>
    </row>
    <row r="18" spans="1:27" x14ac:dyDescent="0.3">
      <c r="A18" t="s">
        <v>110</v>
      </c>
      <c r="B18" t="s">
        <v>28</v>
      </c>
      <c r="C18">
        <v>24</v>
      </c>
      <c r="D18" t="s">
        <v>54</v>
      </c>
      <c r="E18" t="s">
        <v>111</v>
      </c>
      <c r="F18" t="s">
        <v>46</v>
      </c>
      <c r="G18">
        <v>83465</v>
      </c>
      <c r="H18" s="1">
        <v>44328</v>
      </c>
      <c r="I18" t="s">
        <v>107</v>
      </c>
      <c r="J18" t="s">
        <v>99</v>
      </c>
      <c r="K18" t="s">
        <v>58</v>
      </c>
      <c r="L18">
        <v>14</v>
      </c>
      <c r="M18">
        <v>3</v>
      </c>
      <c r="N18">
        <v>2</v>
      </c>
      <c r="O18" t="s">
        <v>59</v>
      </c>
      <c r="P18" t="s">
        <v>36</v>
      </c>
      <c r="Q18">
        <v>231</v>
      </c>
      <c r="R18">
        <v>40</v>
      </c>
      <c r="S18">
        <v>3</v>
      </c>
      <c r="T18" t="s">
        <v>37</v>
      </c>
      <c r="U18" t="s">
        <v>36</v>
      </c>
      <c r="V18" t="s">
        <v>36</v>
      </c>
      <c r="W18" t="s">
        <v>60</v>
      </c>
      <c r="X18">
        <v>2021</v>
      </c>
      <c r="Y18" t="s">
        <v>74</v>
      </c>
      <c r="Z18" t="s">
        <v>104</v>
      </c>
      <c r="AA18" t="s">
        <v>52</v>
      </c>
    </row>
    <row r="19" spans="1:27" x14ac:dyDescent="0.3">
      <c r="A19" t="s">
        <v>112</v>
      </c>
      <c r="B19" t="s">
        <v>28</v>
      </c>
      <c r="C19">
        <v>34</v>
      </c>
      <c r="D19" t="s">
        <v>81</v>
      </c>
      <c r="E19" t="s">
        <v>113</v>
      </c>
      <c r="F19" t="s">
        <v>96</v>
      </c>
      <c r="G19">
        <v>146057</v>
      </c>
      <c r="H19" s="1">
        <v>43505</v>
      </c>
      <c r="I19" t="s">
        <v>98</v>
      </c>
      <c r="J19" t="s">
        <v>73</v>
      </c>
      <c r="K19" t="s">
        <v>49</v>
      </c>
      <c r="L19">
        <v>16</v>
      </c>
      <c r="M19">
        <v>1</v>
      </c>
      <c r="N19">
        <v>1</v>
      </c>
      <c r="O19" t="s">
        <v>68</v>
      </c>
      <c r="P19" t="s">
        <v>36</v>
      </c>
      <c r="Q19">
        <v>169</v>
      </c>
      <c r="R19">
        <v>10</v>
      </c>
      <c r="S19">
        <v>11</v>
      </c>
      <c r="T19" t="s">
        <v>36</v>
      </c>
      <c r="U19" t="s">
        <v>37</v>
      </c>
      <c r="V19" t="s">
        <v>36</v>
      </c>
      <c r="W19" t="s">
        <v>60</v>
      </c>
      <c r="X19">
        <v>2019</v>
      </c>
      <c r="Y19" t="s">
        <v>39</v>
      </c>
      <c r="Z19" t="s">
        <v>40</v>
      </c>
      <c r="AA19" t="s">
        <v>105</v>
      </c>
    </row>
    <row r="20" spans="1:27" x14ac:dyDescent="0.3">
      <c r="A20" t="s">
        <v>114</v>
      </c>
      <c r="B20" t="s">
        <v>43</v>
      </c>
      <c r="C20">
        <v>25</v>
      </c>
      <c r="D20" t="s">
        <v>44</v>
      </c>
      <c r="E20" t="s">
        <v>115</v>
      </c>
      <c r="F20" t="s">
        <v>56</v>
      </c>
      <c r="G20">
        <v>39589</v>
      </c>
      <c r="H20" s="1">
        <v>46008</v>
      </c>
      <c r="I20" t="s">
        <v>57</v>
      </c>
      <c r="J20" t="s">
        <v>73</v>
      </c>
      <c r="K20" t="s">
        <v>34</v>
      </c>
      <c r="L20">
        <v>3</v>
      </c>
      <c r="M20">
        <v>2</v>
      </c>
      <c r="N20">
        <v>2</v>
      </c>
      <c r="O20" t="s">
        <v>50</v>
      </c>
      <c r="P20" t="s">
        <v>37</v>
      </c>
      <c r="Q20">
        <v>252</v>
      </c>
      <c r="R20">
        <v>57</v>
      </c>
      <c r="S20">
        <v>27</v>
      </c>
      <c r="T20" t="s">
        <v>36</v>
      </c>
      <c r="U20" t="s">
        <v>36</v>
      </c>
      <c r="V20" t="s">
        <v>36</v>
      </c>
      <c r="W20" t="s">
        <v>60</v>
      </c>
      <c r="X20">
        <v>2025</v>
      </c>
      <c r="Y20" t="s">
        <v>116</v>
      </c>
      <c r="Z20" t="s">
        <v>104</v>
      </c>
      <c r="AA20" t="s">
        <v>63</v>
      </c>
    </row>
    <row r="21" spans="1:27" x14ac:dyDescent="0.3">
      <c r="A21" t="s">
        <v>117</v>
      </c>
      <c r="B21" t="s">
        <v>43</v>
      </c>
      <c r="C21">
        <v>22</v>
      </c>
      <c r="D21" t="s">
        <v>85</v>
      </c>
      <c r="E21" t="s">
        <v>86</v>
      </c>
      <c r="F21" t="s">
        <v>96</v>
      </c>
      <c r="G21">
        <v>95075</v>
      </c>
      <c r="H21" s="1">
        <v>44377</v>
      </c>
      <c r="I21" t="s">
        <v>32</v>
      </c>
      <c r="J21" t="s">
        <v>118</v>
      </c>
      <c r="K21" t="s">
        <v>49</v>
      </c>
      <c r="L21">
        <v>15</v>
      </c>
      <c r="M21">
        <v>2</v>
      </c>
      <c r="N21">
        <v>4</v>
      </c>
      <c r="O21" t="s">
        <v>50</v>
      </c>
      <c r="P21" t="s">
        <v>36</v>
      </c>
      <c r="Q21">
        <v>189</v>
      </c>
      <c r="R21">
        <v>13</v>
      </c>
      <c r="S21">
        <v>26</v>
      </c>
      <c r="T21" t="s">
        <v>36</v>
      </c>
      <c r="U21" t="s">
        <v>36</v>
      </c>
      <c r="V21" t="s">
        <v>36</v>
      </c>
      <c r="W21" t="s">
        <v>60</v>
      </c>
      <c r="X21">
        <v>2021</v>
      </c>
      <c r="Y21" t="s">
        <v>61</v>
      </c>
      <c r="Z21" t="s">
        <v>104</v>
      </c>
      <c r="AA21" t="s">
        <v>87</v>
      </c>
    </row>
    <row r="22" spans="1:27" x14ac:dyDescent="0.3">
      <c r="A22" t="s">
        <v>119</v>
      </c>
      <c r="B22" t="s">
        <v>43</v>
      </c>
      <c r="C22">
        <v>42</v>
      </c>
      <c r="D22" t="s">
        <v>65</v>
      </c>
      <c r="E22" t="s">
        <v>120</v>
      </c>
      <c r="F22" t="s">
        <v>56</v>
      </c>
      <c r="G22">
        <v>36559</v>
      </c>
      <c r="H22" s="1">
        <v>45844</v>
      </c>
      <c r="I22" t="s">
        <v>107</v>
      </c>
      <c r="J22" t="s">
        <v>118</v>
      </c>
      <c r="K22" t="s">
        <v>34</v>
      </c>
      <c r="L22">
        <v>1</v>
      </c>
      <c r="M22">
        <v>3</v>
      </c>
      <c r="N22">
        <v>1</v>
      </c>
      <c r="O22" t="s">
        <v>35</v>
      </c>
      <c r="P22" t="s">
        <v>37</v>
      </c>
      <c r="Q22">
        <v>226</v>
      </c>
      <c r="R22">
        <v>54</v>
      </c>
      <c r="S22">
        <v>30</v>
      </c>
      <c r="T22" t="s">
        <v>36</v>
      </c>
      <c r="U22" t="s">
        <v>36</v>
      </c>
      <c r="V22" t="s">
        <v>36</v>
      </c>
      <c r="W22" t="s">
        <v>60</v>
      </c>
      <c r="X22">
        <v>2025</v>
      </c>
      <c r="Y22" t="s">
        <v>79</v>
      </c>
      <c r="Z22" t="s">
        <v>70</v>
      </c>
      <c r="AA22" t="s">
        <v>63</v>
      </c>
    </row>
    <row r="23" spans="1:27" x14ac:dyDescent="0.3">
      <c r="A23" t="s">
        <v>121</v>
      </c>
      <c r="B23" t="s">
        <v>43</v>
      </c>
      <c r="C23">
        <v>30</v>
      </c>
      <c r="D23" t="s">
        <v>29</v>
      </c>
      <c r="E23" t="s">
        <v>122</v>
      </c>
      <c r="F23" t="s">
        <v>56</v>
      </c>
      <c r="G23">
        <v>34456</v>
      </c>
      <c r="H23" s="1">
        <v>45232</v>
      </c>
      <c r="I23" t="s">
        <v>107</v>
      </c>
      <c r="J23" t="s">
        <v>67</v>
      </c>
      <c r="K23" t="s">
        <v>34</v>
      </c>
      <c r="L23">
        <v>2</v>
      </c>
      <c r="M23">
        <v>1</v>
      </c>
      <c r="N23">
        <v>3</v>
      </c>
      <c r="O23" t="s">
        <v>59</v>
      </c>
      <c r="P23" t="s">
        <v>36</v>
      </c>
      <c r="Q23">
        <v>190</v>
      </c>
      <c r="R23">
        <v>46</v>
      </c>
      <c r="S23">
        <v>14</v>
      </c>
      <c r="T23" t="s">
        <v>36</v>
      </c>
      <c r="U23" t="s">
        <v>37</v>
      </c>
      <c r="V23" t="s">
        <v>36</v>
      </c>
      <c r="W23" t="s">
        <v>60</v>
      </c>
      <c r="X23">
        <v>2023</v>
      </c>
      <c r="Y23" t="s">
        <v>123</v>
      </c>
      <c r="Z23" t="s">
        <v>75</v>
      </c>
      <c r="AA23" t="s">
        <v>63</v>
      </c>
    </row>
    <row r="24" spans="1:27" x14ac:dyDescent="0.3">
      <c r="A24" t="s">
        <v>124</v>
      </c>
      <c r="B24" t="s">
        <v>28</v>
      </c>
      <c r="C24">
        <v>32</v>
      </c>
      <c r="D24" t="s">
        <v>44</v>
      </c>
      <c r="E24" t="s">
        <v>45</v>
      </c>
      <c r="F24" t="s">
        <v>96</v>
      </c>
      <c r="G24">
        <v>112810</v>
      </c>
      <c r="H24" s="1">
        <v>45797</v>
      </c>
      <c r="I24" t="s">
        <v>32</v>
      </c>
      <c r="J24" t="s">
        <v>118</v>
      </c>
      <c r="K24" t="s">
        <v>34</v>
      </c>
      <c r="L24">
        <v>17</v>
      </c>
      <c r="M24">
        <v>3</v>
      </c>
      <c r="N24">
        <v>4</v>
      </c>
      <c r="O24" t="s">
        <v>50</v>
      </c>
      <c r="P24" t="s">
        <v>36</v>
      </c>
      <c r="Q24">
        <v>256</v>
      </c>
      <c r="R24">
        <v>64</v>
      </c>
      <c r="S24">
        <v>16</v>
      </c>
      <c r="T24" t="s">
        <v>36</v>
      </c>
      <c r="U24" t="s">
        <v>37</v>
      </c>
      <c r="V24" t="s">
        <v>36</v>
      </c>
      <c r="W24" t="s">
        <v>60</v>
      </c>
      <c r="X24">
        <v>2025</v>
      </c>
      <c r="Y24" t="s">
        <v>74</v>
      </c>
      <c r="Z24" t="s">
        <v>40</v>
      </c>
      <c r="AA24" t="s">
        <v>87</v>
      </c>
    </row>
    <row r="25" spans="1:27" x14ac:dyDescent="0.3">
      <c r="A25" t="s">
        <v>125</v>
      </c>
      <c r="B25" t="s">
        <v>43</v>
      </c>
      <c r="C25">
        <v>22</v>
      </c>
      <c r="D25" t="s">
        <v>85</v>
      </c>
      <c r="E25" t="s">
        <v>86</v>
      </c>
      <c r="F25" t="s">
        <v>46</v>
      </c>
      <c r="G25">
        <v>98780</v>
      </c>
      <c r="H25" s="1">
        <v>44838</v>
      </c>
      <c r="I25" t="s">
        <v>32</v>
      </c>
      <c r="J25" t="s">
        <v>99</v>
      </c>
      <c r="K25" t="s">
        <v>58</v>
      </c>
      <c r="L25">
        <v>14</v>
      </c>
      <c r="M25">
        <v>1</v>
      </c>
      <c r="N25">
        <v>2</v>
      </c>
      <c r="O25" t="s">
        <v>68</v>
      </c>
      <c r="P25" t="s">
        <v>36</v>
      </c>
      <c r="Q25">
        <v>189</v>
      </c>
      <c r="R25">
        <v>65</v>
      </c>
      <c r="S25">
        <v>21</v>
      </c>
      <c r="T25" t="s">
        <v>37</v>
      </c>
      <c r="U25" t="s">
        <v>36</v>
      </c>
      <c r="V25" t="s">
        <v>36</v>
      </c>
      <c r="W25" t="s">
        <v>126</v>
      </c>
      <c r="X25">
        <v>2022</v>
      </c>
      <c r="Y25" t="s">
        <v>83</v>
      </c>
      <c r="Z25" t="s">
        <v>104</v>
      </c>
      <c r="AA25" t="s">
        <v>87</v>
      </c>
    </row>
    <row r="26" spans="1:27" x14ac:dyDescent="0.3">
      <c r="A26" t="s">
        <v>127</v>
      </c>
      <c r="B26" t="s">
        <v>43</v>
      </c>
      <c r="C26">
        <v>28</v>
      </c>
      <c r="D26" t="s">
        <v>44</v>
      </c>
      <c r="E26" t="s">
        <v>45</v>
      </c>
      <c r="F26" t="s">
        <v>96</v>
      </c>
      <c r="G26">
        <v>142383</v>
      </c>
      <c r="H26" s="1">
        <v>44070</v>
      </c>
      <c r="I26" t="s">
        <v>98</v>
      </c>
      <c r="J26" t="s">
        <v>101</v>
      </c>
      <c r="K26" t="s">
        <v>58</v>
      </c>
      <c r="L26">
        <v>11</v>
      </c>
      <c r="M26">
        <v>1</v>
      </c>
      <c r="N26">
        <v>1</v>
      </c>
      <c r="O26" t="s">
        <v>68</v>
      </c>
      <c r="P26" t="s">
        <v>36</v>
      </c>
      <c r="Q26">
        <v>178</v>
      </c>
      <c r="R26">
        <v>20</v>
      </c>
      <c r="S26">
        <v>16</v>
      </c>
      <c r="T26" t="s">
        <v>37</v>
      </c>
      <c r="U26" t="s">
        <v>36</v>
      </c>
      <c r="V26" t="s">
        <v>36</v>
      </c>
      <c r="W26" t="s">
        <v>126</v>
      </c>
      <c r="X26">
        <v>2020</v>
      </c>
      <c r="Y26" t="s">
        <v>128</v>
      </c>
      <c r="Z26" t="s">
        <v>75</v>
      </c>
      <c r="AA26" t="s">
        <v>105</v>
      </c>
    </row>
    <row r="27" spans="1:27" x14ac:dyDescent="0.3">
      <c r="A27" t="s">
        <v>129</v>
      </c>
      <c r="B27" t="s">
        <v>43</v>
      </c>
      <c r="C27">
        <v>32</v>
      </c>
      <c r="D27" t="s">
        <v>89</v>
      </c>
      <c r="E27" t="s">
        <v>130</v>
      </c>
      <c r="F27" t="s">
        <v>96</v>
      </c>
      <c r="G27">
        <v>110861</v>
      </c>
      <c r="H27" s="1">
        <v>45410</v>
      </c>
      <c r="I27" t="s">
        <v>98</v>
      </c>
      <c r="J27" t="s">
        <v>101</v>
      </c>
      <c r="K27" t="s">
        <v>34</v>
      </c>
      <c r="L27">
        <v>19</v>
      </c>
      <c r="M27">
        <v>4</v>
      </c>
      <c r="N27">
        <v>3</v>
      </c>
      <c r="O27" t="s">
        <v>68</v>
      </c>
      <c r="P27" t="s">
        <v>37</v>
      </c>
      <c r="Q27">
        <v>257</v>
      </c>
      <c r="R27">
        <v>40</v>
      </c>
      <c r="S27">
        <v>16</v>
      </c>
      <c r="T27" t="s">
        <v>37</v>
      </c>
      <c r="U27" t="s">
        <v>36</v>
      </c>
      <c r="V27" t="s">
        <v>36</v>
      </c>
      <c r="W27" t="s">
        <v>60</v>
      </c>
      <c r="X27">
        <v>2024</v>
      </c>
      <c r="Y27" t="s">
        <v>69</v>
      </c>
      <c r="Z27" t="s">
        <v>40</v>
      </c>
      <c r="AA27" t="s">
        <v>87</v>
      </c>
    </row>
    <row r="28" spans="1:27" x14ac:dyDescent="0.3">
      <c r="A28" t="s">
        <v>131</v>
      </c>
      <c r="B28" t="s">
        <v>28</v>
      </c>
      <c r="C28">
        <v>23</v>
      </c>
      <c r="D28" t="s">
        <v>81</v>
      </c>
      <c r="E28" t="s">
        <v>82</v>
      </c>
      <c r="F28" t="s">
        <v>46</v>
      </c>
      <c r="G28">
        <v>100399</v>
      </c>
      <c r="H28" s="1">
        <v>44032</v>
      </c>
      <c r="I28" t="s">
        <v>57</v>
      </c>
      <c r="J28" t="s">
        <v>118</v>
      </c>
      <c r="K28" t="s">
        <v>49</v>
      </c>
      <c r="L28">
        <v>6</v>
      </c>
      <c r="M28">
        <v>2</v>
      </c>
      <c r="N28">
        <v>2</v>
      </c>
      <c r="O28" t="s">
        <v>50</v>
      </c>
      <c r="P28" t="s">
        <v>36</v>
      </c>
      <c r="Q28">
        <v>238</v>
      </c>
      <c r="R28">
        <v>74</v>
      </c>
      <c r="S28">
        <v>16</v>
      </c>
      <c r="T28" t="s">
        <v>36</v>
      </c>
      <c r="U28" t="s">
        <v>36</v>
      </c>
      <c r="V28" t="s">
        <v>36</v>
      </c>
      <c r="W28" t="s">
        <v>60</v>
      </c>
      <c r="X28">
        <v>2020</v>
      </c>
      <c r="Y28" t="s">
        <v>79</v>
      </c>
      <c r="Z28" t="s">
        <v>104</v>
      </c>
      <c r="AA28" t="s">
        <v>87</v>
      </c>
    </row>
    <row r="29" spans="1:27" x14ac:dyDescent="0.3">
      <c r="A29" t="s">
        <v>132</v>
      </c>
      <c r="B29" t="s">
        <v>28</v>
      </c>
      <c r="C29">
        <v>34</v>
      </c>
      <c r="D29" t="s">
        <v>77</v>
      </c>
      <c r="E29" t="s">
        <v>133</v>
      </c>
      <c r="F29" t="s">
        <v>56</v>
      </c>
      <c r="G29">
        <v>40464</v>
      </c>
      <c r="H29" s="1">
        <v>43490</v>
      </c>
      <c r="I29" t="s">
        <v>98</v>
      </c>
      <c r="J29" t="s">
        <v>33</v>
      </c>
      <c r="K29" t="s">
        <v>49</v>
      </c>
      <c r="L29">
        <v>3</v>
      </c>
      <c r="M29">
        <v>3</v>
      </c>
      <c r="N29">
        <v>3</v>
      </c>
      <c r="O29" t="s">
        <v>68</v>
      </c>
      <c r="P29" t="s">
        <v>36</v>
      </c>
      <c r="Q29">
        <v>259</v>
      </c>
      <c r="R29">
        <v>39</v>
      </c>
      <c r="S29">
        <v>15</v>
      </c>
      <c r="T29" t="s">
        <v>36</v>
      </c>
      <c r="U29" t="s">
        <v>36</v>
      </c>
      <c r="V29" t="s">
        <v>36</v>
      </c>
      <c r="W29" t="s">
        <v>60</v>
      </c>
      <c r="X29">
        <v>2019</v>
      </c>
      <c r="Y29" t="s">
        <v>94</v>
      </c>
      <c r="Z29" t="s">
        <v>40</v>
      </c>
      <c r="AA29" t="s">
        <v>41</v>
      </c>
    </row>
    <row r="30" spans="1:27" x14ac:dyDescent="0.3">
      <c r="A30" t="s">
        <v>134</v>
      </c>
      <c r="B30" t="s">
        <v>43</v>
      </c>
      <c r="C30">
        <v>27</v>
      </c>
      <c r="D30" t="s">
        <v>65</v>
      </c>
      <c r="E30" t="s">
        <v>72</v>
      </c>
      <c r="F30" t="s">
        <v>31</v>
      </c>
      <c r="G30">
        <v>69541</v>
      </c>
      <c r="H30" s="1">
        <v>43988</v>
      </c>
      <c r="I30" t="s">
        <v>47</v>
      </c>
      <c r="J30" t="s">
        <v>73</v>
      </c>
      <c r="K30" t="s">
        <v>49</v>
      </c>
      <c r="L30">
        <v>5</v>
      </c>
      <c r="M30">
        <v>5</v>
      </c>
      <c r="N30">
        <v>5</v>
      </c>
      <c r="O30" t="s">
        <v>68</v>
      </c>
      <c r="P30" t="s">
        <v>37</v>
      </c>
      <c r="Q30">
        <v>200</v>
      </c>
      <c r="R30">
        <v>11</v>
      </c>
      <c r="S30">
        <v>10</v>
      </c>
      <c r="T30" t="s">
        <v>36</v>
      </c>
      <c r="U30" t="s">
        <v>37</v>
      </c>
      <c r="V30" t="s">
        <v>37</v>
      </c>
      <c r="W30" t="s">
        <v>38</v>
      </c>
      <c r="X30">
        <v>2020</v>
      </c>
      <c r="Y30" t="s">
        <v>61</v>
      </c>
      <c r="Z30" t="s">
        <v>75</v>
      </c>
      <c r="AA30" t="s">
        <v>52</v>
      </c>
    </row>
    <row r="31" spans="1:27" x14ac:dyDescent="0.3">
      <c r="A31" t="s">
        <v>135</v>
      </c>
      <c r="B31" t="s">
        <v>43</v>
      </c>
      <c r="C31">
        <v>29</v>
      </c>
      <c r="D31" t="s">
        <v>44</v>
      </c>
      <c r="E31" t="s">
        <v>45</v>
      </c>
      <c r="F31" t="s">
        <v>46</v>
      </c>
      <c r="G31">
        <v>87118</v>
      </c>
      <c r="H31" s="1">
        <v>44605</v>
      </c>
      <c r="I31" t="s">
        <v>57</v>
      </c>
      <c r="J31" t="s">
        <v>91</v>
      </c>
      <c r="K31" t="s">
        <v>58</v>
      </c>
      <c r="L31">
        <v>11</v>
      </c>
      <c r="M31">
        <v>4</v>
      </c>
      <c r="N31">
        <v>3</v>
      </c>
      <c r="O31" t="s">
        <v>35</v>
      </c>
      <c r="P31" t="s">
        <v>37</v>
      </c>
      <c r="Q31">
        <v>210</v>
      </c>
      <c r="R31">
        <v>10</v>
      </c>
      <c r="S31">
        <v>26</v>
      </c>
      <c r="T31" t="s">
        <v>37</v>
      </c>
      <c r="U31" t="s">
        <v>37</v>
      </c>
      <c r="V31" t="s">
        <v>36</v>
      </c>
      <c r="W31" t="s">
        <v>60</v>
      </c>
      <c r="X31">
        <v>2022</v>
      </c>
      <c r="Y31" t="s">
        <v>39</v>
      </c>
      <c r="Z31" t="s">
        <v>75</v>
      </c>
      <c r="AA31" t="s">
        <v>52</v>
      </c>
    </row>
    <row r="32" spans="1:27" x14ac:dyDescent="0.3">
      <c r="A32" t="s">
        <v>136</v>
      </c>
      <c r="B32" t="s">
        <v>28</v>
      </c>
      <c r="C32">
        <v>27</v>
      </c>
      <c r="D32" t="s">
        <v>29</v>
      </c>
      <c r="E32" t="s">
        <v>93</v>
      </c>
      <c r="F32" t="s">
        <v>31</v>
      </c>
      <c r="G32">
        <v>46136</v>
      </c>
      <c r="H32" s="1">
        <v>46208</v>
      </c>
      <c r="I32" t="s">
        <v>32</v>
      </c>
      <c r="J32" t="s">
        <v>48</v>
      </c>
      <c r="K32" t="s">
        <v>58</v>
      </c>
      <c r="L32">
        <v>5</v>
      </c>
      <c r="M32">
        <v>1</v>
      </c>
      <c r="N32">
        <v>5</v>
      </c>
      <c r="O32" t="s">
        <v>50</v>
      </c>
      <c r="P32" t="s">
        <v>37</v>
      </c>
      <c r="Q32">
        <v>209</v>
      </c>
      <c r="R32">
        <v>18</v>
      </c>
      <c r="S32">
        <v>20</v>
      </c>
      <c r="T32" t="s">
        <v>37</v>
      </c>
      <c r="U32" t="s">
        <v>36</v>
      </c>
      <c r="V32" t="s">
        <v>36</v>
      </c>
      <c r="W32" t="s">
        <v>60</v>
      </c>
      <c r="X32">
        <v>2026</v>
      </c>
      <c r="Y32" t="s">
        <v>79</v>
      </c>
      <c r="Z32" t="s">
        <v>75</v>
      </c>
      <c r="AA32" t="s">
        <v>41</v>
      </c>
    </row>
    <row r="33" spans="1:27" x14ac:dyDescent="0.3">
      <c r="A33" t="s">
        <v>137</v>
      </c>
      <c r="B33" t="s">
        <v>43</v>
      </c>
      <c r="C33">
        <v>44</v>
      </c>
      <c r="D33" t="s">
        <v>77</v>
      </c>
      <c r="E33" t="s">
        <v>138</v>
      </c>
      <c r="F33" t="s">
        <v>56</v>
      </c>
      <c r="G33">
        <v>35957</v>
      </c>
      <c r="H33" s="1">
        <v>44701</v>
      </c>
      <c r="I33" t="s">
        <v>47</v>
      </c>
      <c r="J33" t="s">
        <v>91</v>
      </c>
      <c r="K33" t="s">
        <v>58</v>
      </c>
      <c r="L33">
        <v>0</v>
      </c>
      <c r="M33">
        <v>5</v>
      </c>
      <c r="N33">
        <v>1</v>
      </c>
      <c r="O33" t="s">
        <v>50</v>
      </c>
      <c r="P33" t="s">
        <v>36</v>
      </c>
      <c r="Q33">
        <v>250</v>
      </c>
      <c r="R33">
        <v>6</v>
      </c>
      <c r="S33">
        <v>29</v>
      </c>
      <c r="T33" t="s">
        <v>36</v>
      </c>
      <c r="U33" t="s">
        <v>37</v>
      </c>
      <c r="V33" t="s">
        <v>36</v>
      </c>
      <c r="W33" t="s">
        <v>126</v>
      </c>
      <c r="X33">
        <v>2022</v>
      </c>
      <c r="Y33" t="s">
        <v>74</v>
      </c>
      <c r="Z33" t="s">
        <v>70</v>
      </c>
      <c r="AA33" t="s">
        <v>63</v>
      </c>
    </row>
    <row r="34" spans="1:27" x14ac:dyDescent="0.3">
      <c r="A34" t="s">
        <v>139</v>
      </c>
      <c r="B34" t="s">
        <v>28</v>
      </c>
      <c r="C34">
        <v>31</v>
      </c>
      <c r="D34" t="s">
        <v>77</v>
      </c>
      <c r="E34" t="s">
        <v>78</v>
      </c>
      <c r="F34" t="s">
        <v>96</v>
      </c>
      <c r="G34">
        <v>110052</v>
      </c>
      <c r="H34" s="1">
        <v>44187</v>
      </c>
      <c r="I34" t="s">
        <v>98</v>
      </c>
      <c r="J34" t="s">
        <v>67</v>
      </c>
      <c r="K34" t="s">
        <v>49</v>
      </c>
      <c r="L34">
        <v>14</v>
      </c>
      <c r="M34">
        <v>5</v>
      </c>
      <c r="N34">
        <v>3</v>
      </c>
      <c r="O34" t="s">
        <v>68</v>
      </c>
      <c r="P34" t="s">
        <v>36</v>
      </c>
      <c r="Q34">
        <v>253</v>
      </c>
      <c r="R34">
        <v>16</v>
      </c>
      <c r="S34">
        <v>10</v>
      </c>
      <c r="T34" t="s">
        <v>36</v>
      </c>
      <c r="U34" t="s">
        <v>36</v>
      </c>
      <c r="V34" t="s">
        <v>36</v>
      </c>
      <c r="W34" t="s">
        <v>60</v>
      </c>
      <c r="X34">
        <v>2020</v>
      </c>
      <c r="Y34" t="s">
        <v>116</v>
      </c>
      <c r="Z34" t="s">
        <v>40</v>
      </c>
      <c r="AA34" t="s">
        <v>87</v>
      </c>
    </row>
    <row r="35" spans="1:27" x14ac:dyDescent="0.3">
      <c r="A35" t="s">
        <v>140</v>
      </c>
      <c r="B35" t="s">
        <v>43</v>
      </c>
      <c r="C35">
        <v>24</v>
      </c>
      <c r="D35" t="s">
        <v>77</v>
      </c>
      <c r="E35" t="s">
        <v>78</v>
      </c>
      <c r="F35" t="s">
        <v>56</v>
      </c>
      <c r="G35">
        <v>44197</v>
      </c>
      <c r="H35" s="1">
        <v>44210</v>
      </c>
      <c r="I35" t="s">
        <v>98</v>
      </c>
      <c r="J35" t="s">
        <v>67</v>
      </c>
      <c r="K35" t="s">
        <v>34</v>
      </c>
      <c r="L35">
        <v>2</v>
      </c>
      <c r="M35">
        <v>4</v>
      </c>
      <c r="N35">
        <v>2</v>
      </c>
      <c r="O35" t="s">
        <v>35</v>
      </c>
      <c r="P35" t="s">
        <v>36</v>
      </c>
      <c r="Q35">
        <v>252</v>
      </c>
      <c r="R35">
        <v>71</v>
      </c>
      <c r="S35">
        <v>8</v>
      </c>
      <c r="T35" t="s">
        <v>37</v>
      </c>
      <c r="U35" t="s">
        <v>36</v>
      </c>
      <c r="V35" t="s">
        <v>36</v>
      </c>
      <c r="W35" t="s">
        <v>60</v>
      </c>
      <c r="X35">
        <v>2021</v>
      </c>
      <c r="Y35" t="s">
        <v>94</v>
      </c>
      <c r="Z35" t="s">
        <v>104</v>
      </c>
      <c r="AA35" t="s">
        <v>41</v>
      </c>
    </row>
    <row r="36" spans="1:27" x14ac:dyDescent="0.3">
      <c r="A36" t="s">
        <v>141</v>
      </c>
      <c r="B36" t="s">
        <v>43</v>
      </c>
      <c r="C36">
        <v>37</v>
      </c>
      <c r="D36" t="s">
        <v>89</v>
      </c>
      <c r="E36" t="s">
        <v>90</v>
      </c>
      <c r="F36" t="s">
        <v>96</v>
      </c>
      <c r="G36">
        <v>154332</v>
      </c>
      <c r="H36" s="1">
        <v>43536</v>
      </c>
      <c r="I36" t="s">
        <v>98</v>
      </c>
      <c r="J36" t="s">
        <v>91</v>
      </c>
      <c r="K36" t="s">
        <v>49</v>
      </c>
      <c r="L36">
        <v>15</v>
      </c>
      <c r="M36">
        <v>1</v>
      </c>
      <c r="N36">
        <v>3</v>
      </c>
      <c r="O36" t="s">
        <v>50</v>
      </c>
      <c r="P36" t="s">
        <v>37</v>
      </c>
      <c r="Q36">
        <v>201</v>
      </c>
      <c r="R36">
        <v>59</v>
      </c>
      <c r="S36">
        <v>25</v>
      </c>
      <c r="T36" t="s">
        <v>36</v>
      </c>
      <c r="U36" t="s">
        <v>36</v>
      </c>
      <c r="V36" t="s">
        <v>36</v>
      </c>
      <c r="W36" t="s">
        <v>60</v>
      </c>
      <c r="X36">
        <v>2019</v>
      </c>
      <c r="Y36" t="s">
        <v>142</v>
      </c>
      <c r="Z36" t="s">
        <v>62</v>
      </c>
      <c r="AA36" t="s">
        <v>105</v>
      </c>
    </row>
    <row r="37" spans="1:27" x14ac:dyDescent="0.3">
      <c r="A37" t="s">
        <v>143</v>
      </c>
      <c r="B37" t="s">
        <v>43</v>
      </c>
      <c r="C37">
        <v>23</v>
      </c>
      <c r="D37" t="s">
        <v>89</v>
      </c>
      <c r="E37" t="s">
        <v>144</v>
      </c>
      <c r="F37" t="s">
        <v>46</v>
      </c>
      <c r="G37">
        <v>81475</v>
      </c>
      <c r="H37" s="1">
        <v>43960</v>
      </c>
      <c r="I37" t="s">
        <v>47</v>
      </c>
      <c r="J37" t="s">
        <v>67</v>
      </c>
      <c r="K37" t="s">
        <v>34</v>
      </c>
      <c r="L37">
        <v>8</v>
      </c>
      <c r="M37">
        <v>2</v>
      </c>
      <c r="N37">
        <v>3</v>
      </c>
      <c r="O37" t="s">
        <v>50</v>
      </c>
      <c r="P37" t="s">
        <v>37</v>
      </c>
      <c r="Q37">
        <v>245</v>
      </c>
      <c r="R37">
        <v>17</v>
      </c>
      <c r="S37">
        <v>28</v>
      </c>
      <c r="T37" t="s">
        <v>37</v>
      </c>
      <c r="U37" t="s">
        <v>36</v>
      </c>
      <c r="V37" t="s">
        <v>37</v>
      </c>
      <c r="W37" t="s">
        <v>38</v>
      </c>
      <c r="X37">
        <v>2020</v>
      </c>
      <c r="Y37" t="s">
        <v>74</v>
      </c>
      <c r="Z37" t="s">
        <v>104</v>
      </c>
      <c r="AA37" t="s">
        <v>52</v>
      </c>
    </row>
    <row r="38" spans="1:27" x14ac:dyDescent="0.3">
      <c r="A38" t="s">
        <v>145</v>
      </c>
      <c r="B38" t="s">
        <v>43</v>
      </c>
      <c r="C38">
        <v>33</v>
      </c>
      <c r="D38" t="s">
        <v>44</v>
      </c>
      <c r="E38" t="s">
        <v>109</v>
      </c>
      <c r="F38" t="s">
        <v>31</v>
      </c>
      <c r="G38">
        <v>51904</v>
      </c>
      <c r="H38" s="1">
        <v>45653</v>
      </c>
      <c r="I38" t="s">
        <v>32</v>
      </c>
      <c r="J38" t="s">
        <v>101</v>
      </c>
      <c r="K38" t="s">
        <v>58</v>
      </c>
      <c r="L38">
        <v>2</v>
      </c>
      <c r="M38">
        <v>2</v>
      </c>
      <c r="N38">
        <v>3</v>
      </c>
      <c r="O38" t="s">
        <v>35</v>
      </c>
      <c r="P38" t="s">
        <v>37</v>
      </c>
      <c r="Q38">
        <v>156</v>
      </c>
      <c r="R38">
        <v>78</v>
      </c>
      <c r="S38">
        <v>11</v>
      </c>
      <c r="T38" t="s">
        <v>36</v>
      </c>
      <c r="U38" t="s">
        <v>36</v>
      </c>
      <c r="V38" t="s">
        <v>36</v>
      </c>
      <c r="W38" t="s">
        <v>126</v>
      </c>
      <c r="X38">
        <v>2024</v>
      </c>
      <c r="Y38" t="s">
        <v>116</v>
      </c>
      <c r="Z38" t="s">
        <v>40</v>
      </c>
      <c r="AA38" t="s">
        <v>41</v>
      </c>
    </row>
    <row r="39" spans="1:27" x14ac:dyDescent="0.3">
      <c r="A39" t="s">
        <v>146</v>
      </c>
      <c r="B39" t="s">
        <v>43</v>
      </c>
      <c r="C39">
        <v>21</v>
      </c>
      <c r="D39" t="s">
        <v>65</v>
      </c>
      <c r="E39" t="s">
        <v>147</v>
      </c>
      <c r="F39" t="s">
        <v>56</v>
      </c>
      <c r="G39">
        <v>36273</v>
      </c>
      <c r="H39" s="1">
        <v>43933</v>
      </c>
      <c r="I39" t="s">
        <v>98</v>
      </c>
      <c r="J39" t="s">
        <v>67</v>
      </c>
      <c r="K39" t="s">
        <v>58</v>
      </c>
      <c r="L39">
        <v>3</v>
      </c>
      <c r="M39">
        <v>1</v>
      </c>
      <c r="N39">
        <v>4</v>
      </c>
      <c r="O39" t="s">
        <v>68</v>
      </c>
      <c r="P39" t="s">
        <v>36</v>
      </c>
      <c r="Q39">
        <v>159</v>
      </c>
      <c r="R39">
        <v>20</v>
      </c>
      <c r="S39">
        <v>19</v>
      </c>
      <c r="T39" t="s">
        <v>36</v>
      </c>
      <c r="U39" t="s">
        <v>37</v>
      </c>
      <c r="V39" t="s">
        <v>36</v>
      </c>
      <c r="W39" t="s">
        <v>60</v>
      </c>
      <c r="X39">
        <v>2020</v>
      </c>
      <c r="Y39" t="s">
        <v>69</v>
      </c>
      <c r="Z39" t="s">
        <v>104</v>
      </c>
      <c r="AA39" t="s">
        <v>63</v>
      </c>
    </row>
    <row r="40" spans="1:27" x14ac:dyDescent="0.3">
      <c r="A40" t="s">
        <v>148</v>
      </c>
      <c r="B40" t="s">
        <v>43</v>
      </c>
      <c r="C40">
        <v>22</v>
      </c>
      <c r="D40" t="s">
        <v>89</v>
      </c>
      <c r="E40" t="s">
        <v>130</v>
      </c>
      <c r="F40" t="s">
        <v>46</v>
      </c>
      <c r="G40">
        <v>103569</v>
      </c>
      <c r="H40" s="1">
        <v>44716</v>
      </c>
      <c r="I40" t="s">
        <v>32</v>
      </c>
      <c r="J40" t="s">
        <v>33</v>
      </c>
      <c r="K40" t="s">
        <v>49</v>
      </c>
      <c r="L40">
        <v>11</v>
      </c>
      <c r="M40">
        <v>5</v>
      </c>
      <c r="N40">
        <v>5</v>
      </c>
      <c r="O40" t="s">
        <v>35</v>
      </c>
      <c r="P40" t="s">
        <v>37</v>
      </c>
      <c r="Q40">
        <v>228</v>
      </c>
      <c r="R40">
        <v>25</v>
      </c>
      <c r="S40">
        <v>9</v>
      </c>
      <c r="T40" t="s">
        <v>37</v>
      </c>
      <c r="U40" t="s">
        <v>37</v>
      </c>
      <c r="V40" t="s">
        <v>36</v>
      </c>
      <c r="W40" t="s">
        <v>60</v>
      </c>
      <c r="X40">
        <v>2022</v>
      </c>
      <c r="Y40" t="s">
        <v>61</v>
      </c>
      <c r="Z40" t="s">
        <v>104</v>
      </c>
      <c r="AA40" t="s">
        <v>87</v>
      </c>
    </row>
    <row r="41" spans="1:27" x14ac:dyDescent="0.3">
      <c r="A41" t="s">
        <v>149</v>
      </c>
      <c r="B41" t="s">
        <v>28</v>
      </c>
      <c r="C41">
        <v>33</v>
      </c>
      <c r="D41" t="s">
        <v>29</v>
      </c>
      <c r="E41" t="s">
        <v>122</v>
      </c>
      <c r="F41" t="s">
        <v>96</v>
      </c>
      <c r="G41">
        <v>151592</v>
      </c>
      <c r="H41" s="1">
        <v>43599</v>
      </c>
      <c r="I41" t="s">
        <v>32</v>
      </c>
      <c r="J41" t="s">
        <v>67</v>
      </c>
      <c r="K41" t="s">
        <v>34</v>
      </c>
      <c r="L41">
        <v>12</v>
      </c>
      <c r="M41">
        <v>2</v>
      </c>
      <c r="N41">
        <v>3</v>
      </c>
      <c r="O41" t="s">
        <v>68</v>
      </c>
      <c r="P41" t="s">
        <v>36</v>
      </c>
      <c r="Q41">
        <v>186</v>
      </c>
      <c r="R41">
        <v>59</v>
      </c>
      <c r="S41">
        <v>5</v>
      </c>
      <c r="T41" t="s">
        <v>36</v>
      </c>
      <c r="U41" t="s">
        <v>36</v>
      </c>
      <c r="V41" t="s">
        <v>37</v>
      </c>
      <c r="W41" t="s">
        <v>38</v>
      </c>
      <c r="X41">
        <v>2019</v>
      </c>
      <c r="Y41" t="s">
        <v>74</v>
      </c>
      <c r="Z41" t="s">
        <v>40</v>
      </c>
      <c r="AA41" t="s">
        <v>105</v>
      </c>
    </row>
    <row r="42" spans="1:27" x14ac:dyDescent="0.3">
      <c r="A42" t="s">
        <v>150</v>
      </c>
      <c r="B42" t="s">
        <v>28</v>
      </c>
      <c r="C42">
        <v>37</v>
      </c>
      <c r="D42" t="s">
        <v>85</v>
      </c>
      <c r="E42" t="s">
        <v>151</v>
      </c>
      <c r="F42" t="s">
        <v>31</v>
      </c>
      <c r="G42">
        <v>44339</v>
      </c>
      <c r="H42" s="1">
        <v>44145</v>
      </c>
      <c r="I42" t="s">
        <v>47</v>
      </c>
      <c r="J42" t="s">
        <v>67</v>
      </c>
      <c r="K42" t="s">
        <v>34</v>
      </c>
      <c r="L42">
        <v>2</v>
      </c>
      <c r="M42">
        <v>3</v>
      </c>
      <c r="N42">
        <v>5</v>
      </c>
      <c r="O42" t="s">
        <v>59</v>
      </c>
      <c r="P42" t="s">
        <v>36</v>
      </c>
      <c r="Q42">
        <v>255</v>
      </c>
      <c r="R42">
        <v>39</v>
      </c>
      <c r="S42">
        <v>18</v>
      </c>
      <c r="T42" t="s">
        <v>36</v>
      </c>
      <c r="U42" t="s">
        <v>36</v>
      </c>
      <c r="V42" t="s">
        <v>36</v>
      </c>
      <c r="W42" t="s">
        <v>126</v>
      </c>
      <c r="X42">
        <v>2020</v>
      </c>
      <c r="Y42" t="s">
        <v>123</v>
      </c>
      <c r="Z42" t="s">
        <v>62</v>
      </c>
      <c r="AA42" t="s">
        <v>41</v>
      </c>
    </row>
    <row r="43" spans="1:27" x14ac:dyDescent="0.3">
      <c r="A43" t="s">
        <v>152</v>
      </c>
      <c r="B43" t="s">
        <v>43</v>
      </c>
      <c r="C43">
        <v>33</v>
      </c>
      <c r="D43" t="s">
        <v>54</v>
      </c>
      <c r="E43" t="s">
        <v>153</v>
      </c>
      <c r="F43" t="s">
        <v>96</v>
      </c>
      <c r="G43">
        <v>132247</v>
      </c>
      <c r="H43" s="1">
        <v>44491</v>
      </c>
      <c r="I43" t="s">
        <v>107</v>
      </c>
      <c r="J43" t="s">
        <v>99</v>
      </c>
      <c r="K43" t="s">
        <v>58</v>
      </c>
      <c r="L43">
        <v>17</v>
      </c>
      <c r="M43">
        <v>1</v>
      </c>
      <c r="N43">
        <v>1</v>
      </c>
      <c r="O43" t="s">
        <v>59</v>
      </c>
      <c r="P43" t="s">
        <v>37</v>
      </c>
      <c r="Q43">
        <v>236</v>
      </c>
      <c r="R43">
        <v>71</v>
      </c>
      <c r="S43">
        <v>22</v>
      </c>
      <c r="T43" t="s">
        <v>36</v>
      </c>
      <c r="U43" t="s">
        <v>37</v>
      </c>
      <c r="V43" t="s">
        <v>36</v>
      </c>
      <c r="W43" t="s">
        <v>60</v>
      </c>
      <c r="X43">
        <v>2021</v>
      </c>
      <c r="Y43" t="s">
        <v>83</v>
      </c>
      <c r="Z43" t="s">
        <v>40</v>
      </c>
      <c r="AA43" t="s">
        <v>105</v>
      </c>
    </row>
    <row r="44" spans="1:27" x14ac:dyDescent="0.3">
      <c r="A44" t="s">
        <v>154</v>
      </c>
      <c r="B44" t="s">
        <v>28</v>
      </c>
      <c r="C44">
        <v>31</v>
      </c>
      <c r="D44" t="s">
        <v>77</v>
      </c>
      <c r="E44" t="s">
        <v>133</v>
      </c>
      <c r="F44" t="s">
        <v>56</v>
      </c>
      <c r="G44">
        <v>43401</v>
      </c>
      <c r="H44" s="1">
        <v>45138</v>
      </c>
      <c r="I44" t="s">
        <v>47</v>
      </c>
      <c r="J44" t="s">
        <v>67</v>
      </c>
      <c r="K44" t="s">
        <v>34</v>
      </c>
      <c r="L44">
        <v>2</v>
      </c>
      <c r="M44">
        <v>3</v>
      </c>
      <c r="N44">
        <v>3</v>
      </c>
      <c r="O44" t="s">
        <v>59</v>
      </c>
      <c r="P44" t="s">
        <v>36</v>
      </c>
      <c r="Q44">
        <v>163</v>
      </c>
      <c r="R44">
        <v>75</v>
      </c>
      <c r="S44">
        <v>3</v>
      </c>
      <c r="T44" t="s">
        <v>36</v>
      </c>
      <c r="U44" t="s">
        <v>36</v>
      </c>
      <c r="V44" t="s">
        <v>36</v>
      </c>
      <c r="W44" t="s">
        <v>60</v>
      </c>
      <c r="X44">
        <v>2023</v>
      </c>
      <c r="Y44" t="s">
        <v>79</v>
      </c>
      <c r="Z44" t="s">
        <v>40</v>
      </c>
      <c r="AA44" t="s">
        <v>41</v>
      </c>
    </row>
    <row r="45" spans="1:27" x14ac:dyDescent="0.3">
      <c r="A45" t="s">
        <v>155</v>
      </c>
      <c r="B45" t="s">
        <v>43</v>
      </c>
      <c r="C45">
        <v>29</v>
      </c>
      <c r="D45" t="s">
        <v>81</v>
      </c>
      <c r="E45" t="s">
        <v>82</v>
      </c>
      <c r="F45" t="s">
        <v>56</v>
      </c>
      <c r="G45">
        <v>41244</v>
      </c>
      <c r="H45" s="1">
        <v>46159</v>
      </c>
      <c r="I45" t="s">
        <v>98</v>
      </c>
      <c r="J45" t="s">
        <v>101</v>
      </c>
      <c r="K45" t="s">
        <v>34</v>
      </c>
      <c r="L45">
        <v>0</v>
      </c>
      <c r="M45">
        <v>5</v>
      </c>
      <c r="N45">
        <v>4</v>
      </c>
      <c r="O45" t="s">
        <v>59</v>
      </c>
      <c r="P45" t="s">
        <v>36</v>
      </c>
      <c r="Q45">
        <v>156</v>
      </c>
      <c r="R45">
        <v>11</v>
      </c>
      <c r="S45">
        <v>8</v>
      </c>
      <c r="T45" t="s">
        <v>36</v>
      </c>
      <c r="U45" t="s">
        <v>36</v>
      </c>
      <c r="V45" t="s">
        <v>36</v>
      </c>
      <c r="W45" t="s">
        <v>60</v>
      </c>
      <c r="X45">
        <v>2026</v>
      </c>
      <c r="Y45" t="s">
        <v>74</v>
      </c>
      <c r="Z45" t="s">
        <v>75</v>
      </c>
      <c r="AA45" t="s">
        <v>41</v>
      </c>
    </row>
    <row r="46" spans="1:27" x14ac:dyDescent="0.3">
      <c r="A46" t="s">
        <v>156</v>
      </c>
      <c r="B46" t="s">
        <v>43</v>
      </c>
      <c r="C46">
        <v>21</v>
      </c>
      <c r="D46" t="s">
        <v>89</v>
      </c>
      <c r="E46" t="s">
        <v>130</v>
      </c>
      <c r="F46" t="s">
        <v>56</v>
      </c>
      <c r="G46">
        <v>28945</v>
      </c>
      <c r="H46" s="1">
        <v>44114</v>
      </c>
      <c r="I46" t="s">
        <v>57</v>
      </c>
      <c r="J46" t="s">
        <v>101</v>
      </c>
      <c r="K46" t="s">
        <v>58</v>
      </c>
      <c r="L46">
        <v>1</v>
      </c>
      <c r="M46">
        <v>3</v>
      </c>
      <c r="N46">
        <v>5</v>
      </c>
      <c r="O46" t="s">
        <v>68</v>
      </c>
      <c r="P46" t="s">
        <v>37</v>
      </c>
      <c r="Q46">
        <v>220</v>
      </c>
      <c r="R46">
        <v>68</v>
      </c>
      <c r="S46">
        <v>24</v>
      </c>
      <c r="T46" t="s">
        <v>36</v>
      </c>
      <c r="U46" t="s">
        <v>36</v>
      </c>
      <c r="V46" t="s">
        <v>37</v>
      </c>
      <c r="W46" t="s">
        <v>38</v>
      </c>
      <c r="X46">
        <v>2020</v>
      </c>
      <c r="Y46" t="s">
        <v>83</v>
      </c>
      <c r="Z46" t="s">
        <v>104</v>
      </c>
      <c r="AA46" t="s">
        <v>63</v>
      </c>
    </row>
    <row r="47" spans="1:27" x14ac:dyDescent="0.3">
      <c r="A47" t="s">
        <v>157</v>
      </c>
      <c r="B47" t="s">
        <v>43</v>
      </c>
      <c r="C47">
        <v>26</v>
      </c>
      <c r="D47" t="s">
        <v>77</v>
      </c>
      <c r="E47" t="s">
        <v>133</v>
      </c>
      <c r="F47" t="s">
        <v>96</v>
      </c>
      <c r="G47">
        <v>121946</v>
      </c>
      <c r="H47" s="1">
        <v>45723</v>
      </c>
      <c r="I47" t="s">
        <v>107</v>
      </c>
      <c r="J47" t="s">
        <v>118</v>
      </c>
      <c r="K47" t="s">
        <v>49</v>
      </c>
      <c r="L47">
        <v>15</v>
      </c>
      <c r="M47">
        <v>2</v>
      </c>
      <c r="N47">
        <v>4</v>
      </c>
      <c r="O47" t="s">
        <v>50</v>
      </c>
      <c r="P47" t="s">
        <v>37</v>
      </c>
      <c r="Q47">
        <v>226</v>
      </c>
      <c r="R47">
        <v>5</v>
      </c>
      <c r="S47">
        <v>11</v>
      </c>
      <c r="T47" t="s">
        <v>36</v>
      </c>
      <c r="U47" t="s">
        <v>36</v>
      </c>
      <c r="V47" t="s">
        <v>36</v>
      </c>
      <c r="W47" t="s">
        <v>60</v>
      </c>
      <c r="X47">
        <v>2025</v>
      </c>
      <c r="Y47" t="s">
        <v>142</v>
      </c>
      <c r="Z47" t="s">
        <v>75</v>
      </c>
      <c r="AA47" t="s">
        <v>87</v>
      </c>
    </row>
    <row r="48" spans="1:27" x14ac:dyDescent="0.3">
      <c r="A48" t="s">
        <v>158</v>
      </c>
      <c r="B48" t="s">
        <v>43</v>
      </c>
      <c r="C48">
        <v>28</v>
      </c>
      <c r="D48" t="s">
        <v>85</v>
      </c>
      <c r="E48" t="s">
        <v>159</v>
      </c>
      <c r="F48" t="s">
        <v>96</v>
      </c>
      <c r="G48">
        <v>135236</v>
      </c>
      <c r="H48" s="1">
        <v>45726</v>
      </c>
      <c r="I48" t="s">
        <v>32</v>
      </c>
      <c r="J48" t="s">
        <v>118</v>
      </c>
      <c r="K48" t="s">
        <v>58</v>
      </c>
      <c r="L48">
        <v>13</v>
      </c>
      <c r="M48">
        <v>5</v>
      </c>
      <c r="N48">
        <v>4</v>
      </c>
      <c r="O48" t="s">
        <v>59</v>
      </c>
      <c r="P48" t="s">
        <v>36</v>
      </c>
      <c r="Q48">
        <v>191</v>
      </c>
      <c r="R48">
        <v>10</v>
      </c>
      <c r="S48">
        <v>12</v>
      </c>
      <c r="T48" t="s">
        <v>36</v>
      </c>
      <c r="U48" t="s">
        <v>36</v>
      </c>
      <c r="V48" t="s">
        <v>36</v>
      </c>
      <c r="W48" t="s">
        <v>126</v>
      </c>
      <c r="X48">
        <v>2025</v>
      </c>
      <c r="Y48" t="s">
        <v>142</v>
      </c>
      <c r="Z48" t="s">
        <v>75</v>
      </c>
      <c r="AA48" t="s">
        <v>105</v>
      </c>
    </row>
    <row r="49" spans="1:27" x14ac:dyDescent="0.3">
      <c r="A49" t="s">
        <v>160</v>
      </c>
      <c r="B49" t="s">
        <v>43</v>
      </c>
      <c r="C49">
        <v>39</v>
      </c>
      <c r="D49" t="s">
        <v>77</v>
      </c>
      <c r="E49" t="s">
        <v>138</v>
      </c>
      <c r="F49" t="s">
        <v>96</v>
      </c>
      <c r="G49">
        <v>94852</v>
      </c>
      <c r="H49" s="1">
        <v>45523</v>
      </c>
      <c r="I49" t="s">
        <v>47</v>
      </c>
      <c r="J49" t="s">
        <v>99</v>
      </c>
      <c r="K49" t="s">
        <v>34</v>
      </c>
      <c r="L49">
        <v>10</v>
      </c>
      <c r="M49">
        <v>5</v>
      </c>
      <c r="N49">
        <v>3</v>
      </c>
      <c r="O49" t="s">
        <v>68</v>
      </c>
      <c r="P49" t="s">
        <v>37</v>
      </c>
      <c r="Q49">
        <v>258</v>
      </c>
      <c r="R49">
        <v>57</v>
      </c>
      <c r="S49">
        <v>29</v>
      </c>
      <c r="T49" t="s">
        <v>36</v>
      </c>
      <c r="U49" t="s">
        <v>36</v>
      </c>
      <c r="V49" t="s">
        <v>37</v>
      </c>
      <c r="W49" t="s">
        <v>38</v>
      </c>
      <c r="X49">
        <v>2024</v>
      </c>
      <c r="Y49" t="s">
        <v>128</v>
      </c>
      <c r="Z49" t="s">
        <v>62</v>
      </c>
      <c r="AA49" t="s">
        <v>87</v>
      </c>
    </row>
    <row r="50" spans="1:27" x14ac:dyDescent="0.3">
      <c r="A50" t="s">
        <v>161</v>
      </c>
      <c r="B50" t="s">
        <v>28</v>
      </c>
      <c r="C50">
        <v>34</v>
      </c>
      <c r="D50" t="s">
        <v>54</v>
      </c>
      <c r="E50" t="s">
        <v>55</v>
      </c>
      <c r="F50" t="s">
        <v>46</v>
      </c>
      <c r="G50">
        <v>87187</v>
      </c>
      <c r="H50" s="1">
        <v>45094</v>
      </c>
      <c r="I50" t="s">
        <v>47</v>
      </c>
      <c r="J50" t="s">
        <v>99</v>
      </c>
      <c r="K50" t="s">
        <v>34</v>
      </c>
      <c r="L50">
        <v>14</v>
      </c>
      <c r="M50">
        <v>1</v>
      </c>
      <c r="N50">
        <v>3</v>
      </c>
      <c r="O50" t="s">
        <v>35</v>
      </c>
      <c r="P50" t="s">
        <v>36</v>
      </c>
      <c r="Q50">
        <v>259</v>
      </c>
      <c r="R50">
        <v>35</v>
      </c>
      <c r="S50">
        <v>22</v>
      </c>
      <c r="T50" t="s">
        <v>36</v>
      </c>
      <c r="U50" t="s">
        <v>36</v>
      </c>
      <c r="V50" t="s">
        <v>36</v>
      </c>
      <c r="W50" t="s">
        <v>60</v>
      </c>
      <c r="X50">
        <v>2023</v>
      </c>
      <c r="Y50" t="s">
        <v>61</v>
      </c>
      <c r="Z50" t="s">
        <v>40</v>
      </c>
      <c r="AA50" t="s">
        <v>52</v>
      </c>
    </row>
    <row r="51" spans="1:27" x14ac:dyDescent="0.3">
      <c r="A51" t="s">
        <v>162</v>
      </c>
      <c r="B51" t="s">
        <v>28</v>
      </c>
      <c r="C51">
        <v>21</v>
      </c>
      <c r="D51" t="s">
        <v>54</v>
      </c>
      <c r="E51" t="s">
        <v>55</v>
      </c>
      <c r="F51" t="s">
        <v>56</v>
      </c>
      <c r="G51">
        <v>31293</v>
      </c>
      <c r="H51" s="1">
        <v>44147</v>
      </c>
      <c r="I51" t="s">
        <v>107</v>
      </c>
      <c r="J51" t="s">
        <v>118</v>
      </c>
      <c r="K51" t="s">
        <v>58</v>
      </c>
      <c r="L51">
        <v>3</v>
      </c>
      <c r="M51">
        <v>3</v>
      </c>
      <c r="N51">
        <v>1</v>
      </c>
      <c r="O51" t="s">
        <v>68</v>
      </c>
      <c r="P51" t="s">
        <v>37</v>
      </c>
      <c r="Q51">
        <v>191</v>
      </c>
      <c r="R51">
        <v>72</v>
      </c>
      <c r="S51">
        <v>15</v>
      </c>
      <c r="T51" t="s">
        <v>36</v>
      </c>
      <c r="U51" t="s">
        <v>37</v>
      </c>
      <c r="V51" t="s">
        <v>36</v>
      </c>
      <c r="W51" t="s">
        <v>60</v>
      </c>
      <c r="X51">
        <v>2020</v>
      </c>
      <c r="Y51" t="s">
        <v>123</v>
      </c>
      <c r="Z51" t="s">
        <v>104</v>
      </c>
      <c r="AA51" t="s">
        <v>63</v>
      </c>
    </row>
    <row r="52" spans="1:27" x14ac:dyDescent="0.3">
      <c r="A52" t="s">
        <v>163</v>
      </c>
      <c r="B52" t="s">
        <v>28</v>
      </c>
      <c r="C52">
        <v>34</v>
      </c>
      <c r="D52" t="s">
        <v>85</v>
      </c>
      <c r="E52" t="s">
        <v>86</v>
      </c>
      <c r="F52" t="s">
        <v>96</v>
      </c>
      <c r="G52">
        <v>121566</v>
      </c>
      <c r="H52" s="1">
        <v>45854</v>
      </c>
      <c r="I52" t="s">
        <v>57</v>
      </c>
      <c r="J52" t="s">
        <v>101</v>
      </c>
      <c r="K52" t="s">
        <v>49</v>
      </c>
      <c r="L52">
        <v>15</v>
      </c>
      <c r="M52">
        <v>2</v>
      </c>
      <c r="N52">
        <v>2</v>
      </c>
      <c r="O52" t="s">
        <v>68</v>
      </c>
      <c r="P52" t="s">
        <v>36</v>
      </c>
      <c r="Q52">
        <v>231</v>
      </c>
      <c r="R52">
        <v>14</v>
      </c>
      <c r="S52">
        <v>16</v>
      </c>
      <c r="T52" t="s">
        <v>36</v>
      </c>
      <c r="U52" t="s">
        <v>36</v>
      </c>
      <c r="V52" t="s">
        <v>36</v>
      </c>
      <c r="W52" t="s">
        <v>60</v>
      </c>
      <c r="X52">
        <v>2025</v>
      </c>
      <c r="Y52" t="s">
        <v>79</v>
      </c>
      <c r="Z52" t="s">
        <v>40</v>
      </c>
      <c r="AA52" t="s">
        <v>87</v>
      </c>
    </row>
    <row r="53" spans="1:27" x14ac:dyDescent="0.3">
      <c r="A53" t="s">
        <v>164</v>
      </c>
      <c r="B53" t="s">
        <v>43</v>
      </c>
      <c r="C53">
        <v>29</v>
      </c>
      <c r="D53" t="s">
        <v>81</v>
      </c>
      <c r="E53" t="s">
        <v>165</v>
      </c>
      <c r="F53" t="s">
        <v>46</v>
      </c>
      <c r="G53">
        <v>78055</v>
      </c>
      <c r="H53" s="1">
        <v>45445</v>
      </c>
      <c r="I53" t="s">
        <v>107</v>
      </c>
      <c r="J53" t="s">
        <v>99</v>
      </c>
      <c r="K53" t="s">
        <v>34</v>
      </c>
      <c r="L53">
        <v>11</v>
      </c>
      <c r="M53">
        <v>1</v>
      </c>
      <c r="N53">
        <v>2</v>
      </c>
      <c r="O53" t="s">
        <v>59</v>
      </c>
      <c r="P53" t="s">
        <v>36</v>
      </c>
      <c r="Q53">
        <v>223</v>
      </c>
      <c r="R53">
        <v>40</v>
      </c>
      <c r="S53">
        <v>2</v>
      </c>
      <c r="T53" t="s">
        <v>36</v>
      </c>
      <c r="U53" t="s">
        <v>36</v>
      </c>
      <c r="V53" t="s">
        <v>36</v>
      </c>
      <c r="W53" t="s">
        <v>60</v>
      </c>
      <c r="X53">
        <v>2024</v>
      </c>
      <c r="Y53" t="s">
        <v>61</v>
      </c>
      <c r="Z53" t="s">
        <v>75</v>
      </c>
      <c r="AA53" t="s">
        <v>52</v>
      </c>
    </row>
    <row r="54" spans="1:27" x14ac:dyDescent="0.3">
      <c r="A54" t="s">
        <v>166</v>
      </c>
      <c r="B54" t="s">
        <v>43</v>
      </c>
      <c r="C54">
        <v>27</v>
      </c>
      <c r="D54" t="s">
        <v>81</v>
      </c>
      <c r="E54" t="s">
        <v>113</v>
      </c>
      <c r="F54" t="s">
        <v>46</v>
      </c>
      <c r="G54">
        <v>79352</v>
      </c>
      <c r="H54" s="1">
        <v>46009</v>
      </c>
      <c r="I54" t="s">
        <v>47</v>
      </c>
      <c r="J54" t="s">
        <v>99</v>
      </c>
      <c r="K54" t="s">
        <v>34</v>
      </c>
      <c r="L54">
        <v>8</v>
      </c>
      <c r="M54">
        <v>3</v>
      </c>
      <c r="N54">
        <v>2</v>
      </c>
      <c r="O54" t="s">
        <v>50</v>
      </c>
      <c r="P54" t="s">
        <v>36</v>
      </c>
      <c r="Q54">
        <v>162</v>
      </c>
      <c r="R54">
        <v>21</v>
      </c>
      <c r="S54">
        <v>4</v>
      </c>
      <c r="T54" t="s">
        <v>36</v>
      </c>
      <c r="U54" t="s">
        <v>37</v>
      </c>
      <c r="V54" t="s">
        <v>36</v>
      </c>
      <c r="W54" t="s">
        <v>60</v>
      </c>
      <c r="X54">
        <v>2025</v>
      </c>
      <c r="Y54" t="s">
        <v>116</v>
      </c>
      <c r="Z54" t="s">
        <v>75</v>
      </c>
      <c r="AA54" t="s">
        <v>52</v>
      </c>
    </row>
    <row r="55" spans="1:27" x14ac:dyDescent="0.3">
      <c r="A55" t="s">
        <v>167</v>
      </c>
      <c r="B55" t="s">
        <v>43</v>
      </c>
      <c r="C55">
        <v>36</v>
      </c>
      <c r="D55" t="s">
        <v>85</v>
      </c>
      <c r="E55" t="s">
        <v>168</v>
      </c>
      <c r="F55" t="s">
        <v>31</v>
      </c>
      <c r="G55">
        <v>67772</v>
      </c>
      <c r="H55" s="1">
        <v>44964</v>
      </c>
      <c r="I55" t="s">
        <v>47</v>
      </c>
      <c r="J55" t="s">
        <v>67</v>
      </c>
      <c r="K55" t="s">
        <v>34</v>
      </c>
      <c r="L55">
        <v>6</v>
      </c>
      <c r="M55">
        <v>5</v>
      </c>
      <c r="N55">
        <v>5</v>
      </c>
      <c r="O55" t="s">
        <v>50</v>
      </c>
      <c r="P55" t="s">
        <v>36</v>
      </c>
      <c r="Q55">
        <v>256</v>
      </c>
      <c r="R55">
        <v>19</v>
      </c>
      <c r="S55">
        <v>16</v>
      </c>
      <c r="T55" t="s">
        <v>37</v>
      </c>
      <c r="U55" t="s">
        <v>36</v>
      </c>
      <c r="V55" t="s">
        <v>36</v>
      </c>
      <c r="W55" t="s">
        <v>60</v>
      </c>
      <c r="X55">
        <v>2023</v>
      </c>
      <c r="Y55" t="s">
        <v>39</v>
      </c>
      <c r="Z55" t="s">
        <v>62</v>
      </c>
      <c r="AA55" t="s">
        <v>52</v>
      </c>
    </row>
    <row r="56" spans="1:27" x14ac:dyDescent="0.3">
      <c r="A56" t="s">
        <v>169</v>
      </c>
      <c r="B56" t="s">
        <v>28</v>
      </c>
      <c r="C56">
        <v>39</v>
      </c>
      <c r="D56" t="s">
        <v>77</v>
      </c>
      <c r="E56" t="s">
        <v>78</v>
      </c>
      <c r="F56" t="s">
        <v>56</v>
      </c>
      <c r="G56">
        <v>40929</v>
      </c>
      <c r="H56" s="1">
        <v>44549</v>
      </c>
      <c r="I56" t="s">
        <v>107</v>
      </c>
      <c r="J56" t="s">
        <v>48</v>
      </c>
      <c r="K56" t="s">
        <v>34</v>
      </c>
      <c r="L56">
        <v>0</v>
      </c>
      <c r="M56">
        <v>5</v>
      </c>
      <c r="N56">
        <v>1</v>
      </c>
      <c r="O56" t="s">
        <v>68</v>
      </c>
      <c r="P56" t="s">
        <v>36</v>
      </c>
      <c r="Q56">
        <v>197</v>
      </c>
      <c r="R56">
        <v>65</v>
      </c>
      <c r="S56">
        <v>2</v>
      </c>
      <c r="T56" t="s">
        <v>36</v>
      </c>
      <c r="U56" t="s">
        <v>36</v>
      </c>
      <c r="V56" t="s">
        <v>36</v>
      </c>
      <c r="W56" t="s">
        <v>60</v>
      </c>
      <c r="X56">
        <v>2021</v>
      </c>
      <c r="Y56" t="s">
        <v>116</v>
      </c>
      <c r="Z56" t="s">
        <v>62</v>
      </c>
      <c r="AA56" t="s">
        <v>41</v>
      </c>
    </row>
    <row r="57" spans="1:27" x14ac:dyDescent="0.3">
      <c r="A57" t="s">
        <v>170</v>
      </c>
      <c r="B57" t="s">
        <v>28</v>
      </c>
      <c r="C57">
        <v>38</v>
      </c>
      <c r="D57" t="s">
        <v>54</v>
      </c>
      <c r="E57" t="s">
        <v>55</v>
      </c>
      <c r="F57" t="s">
        <v>46</v>
      </c>
      <c r="G57">
        <v>107548</v>
      </c>
      <c r="H57" s="1">
        <v>43943</v>
      </c>
      <c r="I57" t="s">
        <v>32</v>
      </c>
      <c r="J57" t="s">
        <v>73</v>
      </c>
      <c r="K57" t="s">
        <v>49</v>
      </c>
      <c r="L57">
        <v>11</v>
      </c>
      <c r="M57">
        <v>2</v>
      </c>
      <c r="N57">
        <v>1</v>
      </c>
      <c r="O57" t="s">
        <v>59</v>
      </c>
      <c r="P57" t="s">
        <v>37</v>
      </c>
      <c r="Q57">
        <v>188</v>
      </c>
      <c r="R57">
        <v>52</v>
      </c>
      <c r="S57">
        <v>23</v>
      </c>
      <c r="T57" t="s">
        <v>36</v>
      </c>
      <c r="U57" t="s">
        <v>36</v>
      </c>
      <c r="V57" t="s">
        <v>37</v>
      </c>
      <c r="W57" t="s">
        <v>38</v>
      </c>
      <c r="X57">
        <v>2020</v>
      </c>
      <c r="Y57" t="s">
        <v>69</v>
      </c>
      <c r="Z57" t="s">
        <v>62</v>
      </c>
      <c r="AA57" t="s">
        <v>87</v>
      </c>
    </row>
    <row r="58" spans="1:27" x14ac:dyDescent="0.3">
      <c r="A58" t="s">
        <v>171</v>
      </c>
      <c r="B58" t="s">
        <v>43</v>
      </c>
      <c r="C58">
        <v>26</v>
      </c>
      <c r="D58" t="s">
        <v>85</v>
      </c>
      <c r="E58" t="s">
        <v>159</v>
      </c>
      <c r="F58" t="s">
        <v>56</v>
      </c>
      <c r="G58">
        <v>44034</v>
      </c>
      <c r="H58" s="1">
        <v>44611</v>
      </c>
      <c r="I58" t="s">
        <v>107</v>
      </c>
      <c r="J58" t="s">
        <v>48</v>
      </c>
      <c r="K58" t="s">
        <v>34</v>
      </c>
      <c r="L58">
        <v>3</v>
      </c>
      <c r="M58">
        <v>1</v>
      </c>
      <c r="N58">
        <v>3</v>
      </c>
      <c r="O58" t="s">
        <v>50</v>
      </c>
      <c r="P58" t="s">
        <v>37</v>
      </c>
      <c r="Q58">
        <v>206</v>
      </c>
      <c r="R58">
        <v>74</v>
      </c>
      <c r="S58">
        <v>30</v>
      </c>
      <c r="T58" t="s">
        <v>36</v>
      </c>
      <c r="U58" t="s">
        <v>36</v>
      </c>
      <c r="V58" t="s">
        <v>36</v>
      </c>
      <c r="W58" t="s">
        <v>60</v>
      </c>
      <c r="X58">
        <v>2022</v>
      </c>
      <c r="Y58" t="s">
        <v>39</v>
      </c>
      <c r="Z58" t="s">
        <v>75</v>
      </c>
      <c r="AA58" t="s">
        <v>41</v>
      </c>
    </row>
    <row r="59" spans="1:27" x14ac:dyDescent="0.3">
      <c r="A59" t="s">
        <v>172</v>
      </c>
      <c r="B59" t="s">
        <v>28</v>
      </c>
      <c r="C59">
        <v>29</v>
      </c>
      <c r="D59" t="s">
        <v>77</v>
      </c>
      <c r="E59" t="s">
        <v>78</v>
      </c>
      <c r="F59" t="s">
        <v>31</v>
      </c>
      <c r="G59">
        <v>46002</v>
      </c>
      <c r="H59" s="1">
        <v>43841</v>
      </c>
      <c r="I59" t="s">
        <v>32</v>
      </c>
      <c r="J59" t="s">
        <v>33</v>
      </c>
      <c r="K59" t="s">
        <v>58</v>
      </c>
      <c r="L59">
        <v>5</v>
      </c>
      <c r="M59">
        <v>2</v>
      </c>
      <c r="N59">
        <v>5</v>
      </c>
      <c r="O59" t="s">
        <v>68</v>
      </c>
      <c r="P59" t="s">
        <v>37</v>
      </c>
      <c r="Q59">
        <v>156</v>
      </c>
      <c r="R59">
        <v>80</v>
      </c>
      <c r="S59">
        <v>8</v>
      </c>
      <c r="T59" t="s">
        <v>37</v>
      </c>
      <c r="U59" t="s">
        <v>36</v>
      </c>
      <c r="V59" t="s">
        <v>36</v>
      </c>
      <c r="W59" t="s">
        <v>60</v>
      </c>
      <c r="X59">
        <v>2020</v>
      </c>
      <c r="Y59" t="s">
        <v>94</v>
      </c>
      <c r="Z59" t="s">
        <v>75</v>
      </c>
      <c r="AA59" t="s">
        <v>41</v>
      </c>
    </row>
    <row r="60" spans="1:27" x14ac:dyDescent="0.3">
      <c r="A60" t="s">
        <v>173</v>
      </c>
      <c r="B60" t="s">
        <v>28</v>
      </c>
      <c r="C60">
        <v>34</v>
      </c>
      <c r="D60" t="s">
        <v>29</v>
      </c>
      <c r="E60" t="s">
        <v>30</v>
      </c>
      <c r="F60" t="s">
        <v>31</v>
      </c>
      <c r="G60">
        <v>46259</v>
      </c>
      <c r="H60" s="1">
        <v>44492</v>
      </c>
      <c r="I60" t="s">
        <v>107</v>
      </c>
      <c r="J60" t="s">
        <v>33</v>
      </c>
      <c r="K60" t="s">
        <v>34</v>
      </c>
      <c r="L60">
        <v>6</v>
      </c>
      <c r="M60">
        <v>2</v>
      </c>
      <c r="N60">
        <v>1</v>
      </c>
      <c r="O60" t="s">
        <v>50</v>
      </c>
      <c r="P60" t="s">
        <v>36</v>
      </c>
      <c r="Q60">
        <v>260</v>
      </c>
      <c r="R60">
        <v>7</v>
      </c>
      <c r="S60">
        <v>7</v>
      </c>
      <c r="T60" t="s">
        <v>36</v>
      </c>
      <c r="U60" t="s">
        <v>37</v>
      </c>
      <c r="V60" t="s">
        <v>37</v>
      </c>
      <c r="W60" t="s">
        <v>38</v>
      </c>
      <c r="X60">
        <v>2021</v>
      </c>
      <c r="Y60" t="s">
        <v>83</v>
      </c>
      <c r="Z60" t="s">
        <v>40</v>
      </c>
      <c r="AA60" t="s">
        <v>41</v>
      </c>
    </row>
    <row r="61" spans="1:27" x14ac:dyDescent="0.3">
      <c r="A61" t="s">
        <v>174</v>
      </c>
      <c r="B61" t="s">
        <v>28</v>
      </c>
      <c r="C61">
        <v>38</v>
      </c>
      <c r="D61" t="s">
        <v>85</v>
      </c>
      <c r="E61" t="s">
        <v>159</v>
      </c>
      <c r="F61" t="s">
        <v>56</v>
      </c>
      <c r="G61">
        <v>30082</v>
      </c>
      <c r="H61" s="1">
        <v>45302</v>
      </c>
      <c r="I61" t="s">
        <v>98</v>
      </c>
      <c r="J61" t="s">
        <v>99</v>
      </c>
      <c r="K61" t="s">
        <v>34</v>
      </c>
      <c r="L61">
        <v>3</v>
      </c>
      <c r="M61">
        <v>3</v>
      </c>
      <c r="N61">
        <v>5</v>
      </c>
      <c r="O61" t="s">
        <v>50</v>
      </c>
      <c r="P61" t="s">
        <v>36</v>
      </c>
      <c r="Q61">
        <v>163</v>
      </c>
      <c r="R61">
        <v>63</v>
      </c>
      <c r="S61">
        <v>22</v>
      </c>
      <c r="T61" t="s">
        <v>37</v>
      </c>
      <c r="U61" t="s">
        <v>36</v>
      </c>
      <c r="V61" t="s">
        <v>36</v>
      </c>
      <c r="W61" t="s">
        <v>60</v>
      </c>
      <c r="X61">
        <v>2024</v>
      </c>
      <c r="Y61" t="s">
        <v>94</v>
      </c>
      <c r="Z61" t="s">
        <v>62</v>
      </c>
      <c r="AA61" t="s">
        <v>63</v>
      </c>
    </row>
    <row r="62" spans="1:27" x14ac:dyDescent="0.3">
      <c r="A62" t="s">
        <v>175</v>
      </c>
      <c r="B62" t="s">
        <v>43</v>
      </c>
      <c r="C62">
        <v>28</v>
      </c>
      <c r="D62" t="s">
        <v>77</v>
      </c>
      <c r="E62" t="s">
        <v>133</v>
      </c>
      <c r="F62" t="s">
        <v>56</v>
      </c>
      <c r="G62">
        <v>44065</v>
      </c>
      <c r="H62" s="1">
        <v>43767</v>
      </c>
      <c r="I62" t="s">
        <v>98</v>
      </c>
      <c r="J62" t="s">
        <v>91</v>
      </c>
      <c r="K62" t="s">
        <v>49</v>
      </c>
      <c r="L62">
        <v>3</v>
      </c>
      <c r="M62">
        <v>1</v>
      </c>
      <c r="N62">
        <v>3</v>
      </c>
      <c r="O62" t="s">
        <v>50</v>
      </c>
      <c r="P62" t="s">
        <v>36</v>
      </c>
      <c r="Q62">
        <v>168</v>
      </c>
      <c r="R62">
        <v>63</v>
      </c>
      <c r="S62">
        <v>18</v>
      </c>
      <c r="T62" t="s">
        <v>36</v>
      </c>
      <c r="U62" t="s">
        <v>37</v>
      </c>
      <c r="V62" t="s">
        <v>37</v>
      </c>
      <c r="W62" t="s">
        <v>38</v>
      </c>
      <c r="X62">
        <v>2019</v>
      </c>
      <c r="Y62" t="s">
        <v>83</v>
      </c>
      <c r="Z62" t="s">
        <v>75</v>
      </c>
      <c r="AA62" t="s">
        <v>41</v>
      </c>
    </row>
    <row r="63" spans="1:27" x14ac:dyDescent="0.3">
      <c r="A63" t="s">
        <v>176</v>
      </c>
      <c r="B63" t="s">
        <v>43</v>
      </c>
      <c r="C63">
        <v>30</v>
      </c>
      <c r="D63" t="s">
        <v>54</v>
      </c>
      <c r="E63" t="s">
        <v>153</v>
      </c>
      <c r="F63" t="s">
        <v>31</v>
      </c>
      <c r="G63">
        <v>56092</v>
      </c>
      <c r="H63" s="1">
        <v>44401</v>
      </c>
      <c r="I63" t="s">
        <v>107</v>
      </c>
      <c r="J63" t="s">
        <v>118</v>
      </c>
      <c r="K63" t="s">
        <v>49</v>
      </c>
      <c r="L63">
        <v>5</v>
      </c>
      <c r="M63">
        <v>4</v>
      </c>
      <c r="N63">
        <v>3</v>
      </c>
      <c r="O63" t="s">
        <v>50</v>
      </c>
      <c r="P63" t="s">
        <v>36</v>
      </c>
      <c r="Q63">
        <v>201</v>
      </c>
      <c r="R63">
        <v>52</v>
      </c>
      <c r="S63">
        <v>6</v>
      </c>
      <c r="T63" t="s">
        <v>36</v>
      </c>
      <c r="U63" t="s">
        <v>36</v>
      </c>
      <c r="V63" t="s">
        <v>36</v>
      </c>
      <c r="W63" t="s">
        <v>126</v>
      </c>
      <c r="X63">
        <v>2021</v>
      </c>
      <c r="Y63" t="s">
        <v>79</v>
      </c>
      <c r="Z63" t="s">
        <v>75</v>
      </c>
      <c r="AA63" t="s">
        <v>41</v>
      </c>
    </row>
    <row r="64" spans="1:27" x14ac:dyDescent="0.3">
      <c r="A64" t="s">
        <v>177</v>
      </c>
      <c r="B64" t="s">
        <v>28</v>
      </c>
      <c r="C64">
        <v>24</v>
      </c>
      <c r="D64" t="s">
        <v>54</v>
      </c>
      <c r="E64" t="s">
        <v>153</v>
      </c>
      <c r="F64" t="s">
        <v>56</v>
      </c>
      <c r="G64">
        <v>42151</v>
      </c>
      <c r="H64" s="1">
        <v>44992</v>
      </c>
      <c r="I64" t="s">
        <v>47</v>
      </c>
      <c r="J64" t="s">
        <v>91</v>
      </c>
      <c r="K64" t="s">
        <v>34</v>
      </c>
      <c r="L64">
        <v>0</v>
      </c>
      <c r="M64">
        <v>2</v>
      </c>
      <c r="N64">
        <v>5</v>
      </c>
      <c r="O64" t="s">
        <v>59</v>
      </c>
      <c r="P64" t="s">
        <v>37</v>
      </c>
      <c r="Q64">
        <v>225</v>
      </c>
      <c r="R64">
        <v>11</v>
      </c>
      <c r="S64">
        <v>11</v>
      </c>
      <c r="T64" t="s">
        <v>36</v>
      </c>
      <c r="U64" t="s">
        <v>36</v>
      </c>
      <c r="V64" t="s">
        <v>36</v>
      </c>
      <c r="W64" t="s">
        <v>60</v>
      </c>
      <c r="X64">
        <v>2023</v>
      </c>
      <c r="Y64" t="s">
        <v>142</v>
      </c>
      <c r="Z64" t="s">
        <v>104</v>
      </c>
      <c r="AA64" t="s">
        <v>41</v>
      </c>
    </row>
    <row r="65" spans="1:27" x14ac:dyDescent="0.3">
      <c r="A65" t="s">
        <v>178</v>
      </c>
      <c r="B65" t="s">
        <v>43</v>
      </c>
      <c r="C65">
        <v>23</v>
      </c>
      <c r="D65" t="s">
        <v>54</v>
      </c>
      <c r="E65" t="s">
        <v>111</v>
      </c>
      <c r="F65" t="s">
        <v>31</v>
      </c>
      <c r="G65">
        <v>63519</v>
      </c>
      <c r="H65" s="1">
        <v>44384</v>
      </c>
      <c r="I65" t="s">
        <v>98</v>
      </c>
      <c r="J65" t="s">
        <v>33</v>
      </c>
      <c r="K65" t="s">
        <v>49</v>
      </c>
      <c r="L65">
        <v>5</v>
      </c>
      <c r="M65">
        <v>1</v>
      </c>
      <c r="N65">
        <v>3</v>
      </c>
      <c r="O65" t="s">
        <v>35</v>
      </c>
      <c r="P65" t="s">
        <v>36</v>
      </c>
      <c r="Q65">
        <v>197</v>
      </c>
      <c r="R65">
        <v>39</v>
      </c>
      <c r="S65">
        <v>2</v>
      </c>
      <c r="T65" t="s">
        <v>37</v>
      </c>
      <c r="U65" t="s">
        <v>37</v>
      </c>
      <c r="V65" t="s">
        <v>36</v>
      </c>
      <c r="W65" t="s">
        <v>60</v>
      </c>
      <c r="X65">
        <v>2021</v>
      </c>
      <c r="Y65" t="s">
        <v>79</v>
      </c>
      <c r="Z65" t="s">
        <v>104</v>
      </c>
      <c r="AA65" t="s">
        <v>52</v>
      </c>
    </row>
    <row r="66" spans="1:27" x14ac:dyDescent="0.3">
      <c r="A66" t="s">
        <v>179</v>
      </c>
      <c r="B66" t="s">
        <v>43</v>
      </c>
      <c r="C66">
        <v>37</v>
      </c>
      <c r="D66" t="s">
        <v>65</v>
      </c>
      <c r="E66" t="s">
        <v>66</v>
      </c>
      <c r="F66" t="s">
        <v>56</v>
      </c>
      <c r="G66">
        <v>33944</v>
      </c>
      <c r="H66" s="1">
        <v>45785</v>
      </c>
      <c r="I66" t="s">
        <v>98</v>
      </c>
      <c r="J66" t="s">
        <v>33</v>
      </c>
      <c r="K66" t="s">
        <v>49</v>
      </c>
      <c r="L66">
        <v>1</v>
      </c>
      <c r="M66">
        <v>4</v>
      </c>
      <c r="N66">
        <v>1</v>
      </c>
      <c r="O66" t="s">
        <v>59</v>
      </c>
      <c r="P66" t="s">
        <v>37</v>
      </c>
      <c r="Q66">
        <v>244</v>
      </c>
      <c r="R66">
        <v>63</v>
      </c>
      <c r="S66">
        <v>12</v>
      </c>
      <c r="T66" t="s">
        <v>37</v>
      </c>
      <c r="U66" t="s">
        <v>37</v>
      </c>
      <c r="V66" t="s">
        <v>37</v>
      </c>
      <c r="W66" t="s">
        <v>38</v>
      </c>
      <c r="X66">
        <v>2025</v>
      </c>
      <c r="Y66" t="s">
        <v>74</v>
      </c>
      <c r="Z66" t="s">
        <v>62</v>
      </c>
      <c r="AA66" t="s">
        <v>63</v>
      </c>
    </row>
    <row r="67" spans="1:27" x14ac:dyDescent="0.3">
      <c r="A67" t="s">
        <v>180</v>
      </c>
      <c r="B67" t="s">
        <v>43</v>
      </c>
      <c r="C67">
        <v>41</v>
      </c>
      <c r="D67" t="s">
        <v>81</v>
      </c>
      <c r="E67" t="s">
        <v>82</v>
      </c>
      <c r="F67" t="s">
        <v>56</v>
      </c>
      <c r="G67">
        <v>29723</v>
      </c>
      <c r="H67" s="1">
        <v>44110</v>
      </c>
      <c r="I67" t="s">
        <v>47</v>
      </c>
      <c r="J67" t="s">
        <v>101</v>
      </c>
      <c r="K67" t="s">
        <v>34</v>
      </c>
      <c r="L67">
        <v>1</v>
      </c>
      <c r="M67">
        <v>5</v>
      </c>
      <c r="N67">
        <v>1</v>
      </c>
      <c r="O67" t="s">
        <v>59</v>
      </c>
      <c r="P67" t="s">
        <v>36</v>
      </c>
      <c r="Q67">
        <v>160</v>
      </c>
      <c r="R67">
        <v>58</v>
      </c>
      <c r="S67">
        <v>10</v>
      </c>
      <c r="T67" t="s">
        <v>37</v>
      </c>
      <c r="U67" t="s">
        <v>36</v>
      </c>
      <c r="V67" t="s">
        <v>36</v>
      </c>
      <c r="W67" t="s">
        <v>60</v>
      </c>
      <c r="X67">
        <v>2020</v>
      </c>
      <c r="Y67" t="s">
        <v>83</v>
      </c>
      <c r="Z67" t="s">
        <v>70</v>
      </c>
      <c r="AA67" t="s">
        <v>63</v>
      </c>
    </row>
    <row r="68" spans="1:27" x14ac:dyDescent="0.3">
      <c r="A68" t="s">
        <v>181</v>
      </c>
      <c r="B68" t="s">
        <v>43</v>
      </c>
      <c r="C68">
        <v>31</v>
      </c>
      <c r="D68" t="s">
        <v>77</v>
      </c>
      <c r="E68" t="s">
        <v>182</v>
      </c>
      <c r="F68" t="s">
        <v>46</v>
      </c>
      <c r="G68">
        <v>109447</v>
      </c>
      <c r="H68" s="1">
        <v>45459</v>
      </c>
      <c r="I68" t="s">
        <v>57</v>
      </c>
      <c r="J68" t="s">
        <v>99</v>
      </c>
      <c r="K68" t="s">
        <v>58</v>
      </c>
      <c r="L68">
        <v>14</v>
      </c>
      <c r="M68">
        <v>5</v>
      </c>
      <c r="N68">
        <v>3</v>
      </c>
      <c r="O68" t="s">
        <v>50</v>
      </c>
      <c r="P68" t="s">
        <v>37</v>
      </c>
      <c r="Q68">
        <v>178</v>
      </c>
      <c r="R68">
        <v>32</v>
      </c>
      <c r="S68">
        <v>26</v>
      </c>
      <c r="T68" t="s">
        <v>37</v>
      </c>
      <c r="U68" t="s">
        <v>36</v>
      </c>
      <c r="V68" t="s">
        <v>36</v>
      </c>
      <c r="W68" t="s">
        <v>60</v>
      </c>
      <c r="X68">
        <v>2024</v>
      </c>
      <c r="Y68" t="s">
        <v>61</v>
      </c>
      <c r="Z68" t="s">
        <v>40</v>
      </c>
      <c r="AA68" t="s">
        <v>87</v>
      </c>
    </row>
    <row r="69" spans="1:27" x14ac:dyDescent="0.3">
      <c r="A69" t="s">
        <v>183</v>
      </c>
      <c r="B69" t="s">
        <v>43</v>
      </c>
      <c r="C69">
        <v>39</v>
      </c>
      <c r="D69" t="s">
        <v>65</v>
      </c>
      <c r="E69" t="s">
        <v>120</v>
      </c>
      <c r="F69" t="s">
        <v>56</v>
      </c>
      <c r="G69">
        <v>44298</v>
      </c>
      <c r="H69" s="1">
        <v>44185</v>
      </c>
      <c r="I69" t="s">
        <v>107</v>
      </c>
      <c r="J69" t="s">
        <v>48</v>
      </c>
      <c r="K69" t="s">
        <v>49</v>
      </c>
      <c r="L69">
        <v>3</v>
      </c>
      <c r="M69">
        <v>2</v>
      </c>
      <c r="N69">
        <v>4</v>
      </c>
      <c r="O69" t="s">
        <v>35</v>
      </c>
      <c r="P69" t="s">
        <v>36</v>
      </c>
      <c r="Q69">
        <v>240</v>
      </c>
      <c r="R69">
        <v>60</v>
      </c>
      <c r="S69">
        <v>2</v>
      </c>
      <c r="T69" t="s">
        <v>36</v>
      </c>
      <c r="U69" t="s">
        <v>36</v>
      </c>
      <c r="V69" t="s">
        <v>36</v>
      </c>
      <c r="W69" t="s">
        <v>60</v>
      </c>
      <c r="X69">
        <v>2020</v>
      </c>
      <c r="Y69" t="s">
        <v>116</v>
      </c>
      <c r="Z69" t="s">
        <v>62</v>
      </c>
      <c r="AA69" t="s">
        <v>41</v>
      </c>
    </row>
    <row r="70" spans="1:27" x14ac:dyDescent="0.3">
      <c r="A70" t="s">
        <v>184</v>
      </c>
      <c r="B70" t="s">
        <v>43</v>
      </c>
      <c r="C70">
        <v>34</v>
      </c>
      <c r="D70" t="s">
        <v>77</v>
      </c>
      <c r="E70" t="s">
        <v>133</v>
      </c>
      <c r="F70" t="s">
        <v>96</v>
      </c>
      <c r="G70">
        <v>127947</v>
      </c>
      <c r="H70" s="1">
        <v>45125</v>
      </c>
      <c r="I70" t="s">
        <v>107</v>
      </c>
      <c r="J70" t="s">
        <v>48</v>
      </c>
      <c r="K70" t="s">
        <v>49</v>
      </c>
      <c r="L70">
        <v>9</v>
      </c>
      <c r="M70">
        <v>1</v>
      </c>
      <c r="N70">
        <v>3</v>
      </c>
      <c r="O70" t="s">
        <v>35</v>
      </c>
      <c r="P70" t="s">
        <v>37</v>
      </c>
      <c r="Q70">
        <v>252</v>
      </c>
      <c r="R70">
        <v>36</v>
      </c>
      <c r="S70">
        <v>15</v>
      </c>
      <c r="T70" t="s">
        <v>36</v>
      </c>
      <c r="U70" t="s">
        <v>36</v>
      </c>
      <c r="V70" t="s">
        <v>36</v>
      </c>
      <c r="W70" t="s">
        <v>126</v>
      </c>
      <c r="X70">
        <v>2023</v>
      </c>
      <c r="Y70" t="s">
        <v>79</v>
      </c>
      <c r="Z70" t="s">
        <v>40</v>
      </c>
      <c r="AA70" t="s">
        <v>87</v>
      </c>
    </row>
    <row r="71" spans="1:27" x14ac:dyDescent="0.3">
      <c r="A71" t="s">
        <v>185</v>
      </c>
      <c r="B71" t="s">
        <v>28</v>
      </c>
      <c r="C71">
        <v>27</v>
      </c>
      <c r="D71" t="s">
        <v>77</v>
      </c>
      <c r="E71" t="s">
        <v>78</v>
      </c>
      <c r="F71" t="s">
        <v>46</v>
      </c>
      <c r="G71">
        <v>79520</v>
      </c>
      <c r="H71" s="1">
        <v>44154</v>
      </c>
      <c r="I71" t="s">
        <v>107</v>
      </c>
      <c r="J71" t="s">
        <v>91</v>
      </c>
      <c r="K71" t="s">
        <v>34</v>
      </c>
      <c r="L71">
        <v>10</v>
      </c>
      <c r="M71">
        <v>1</v>
      </c>
      <c r="N71">
        <v>5</v>
      </c>
      <c r="O71" t="s">
        <v>68</v>
      </c>
      <c r="P71" t="s">
        <v>36</v>
      </c>
      <c r="Q71">
        <v>164</v>
      </c>
      <c r="R71">
        <v>35</v>
      </c>
      <c r="S71">
        <v>5</v>
      </c>
      <c r="T71" t="s">
        <v>37</v>
      </c>
      <c r="U71" t="s">
        <v>36</v>
      </c>
      <c r="V71" t="s">
        <v>36</v>
      </c>
      <c r="W71" t="s">
        <v>60</v>
      </c>
      <c r="X71">
        <v>2020</v>
      </c>
      <c r="Y71" t="s">
        <v>123</v>
      </c>
      <c r="Z71" t="s">
        <v>75</v>
      </c>
      <c r="AA71" t="s">
        <v>52</v>
      </c>
    </row>
    <row r="72" spans="1:27" x14ac:dyDescent="0.3">
      <c r="A72" t="s">
        <v>186</v>
      </c>
      <c r="B72" t="s">
        <v>28</v>
      </c>
      <c r="C72">
        <v>34</v>
      </c>
      <c r="D72" t="s">
        <v>85</v>
      </c>
      <c r="E72" t="s">
        <v>168</v>
      </c>
      <c r="F72" t="s">
        <v>56</v>
      </c>
      <c r="G72">
        <v>33804</v>
      </c>
      <c r="H72" s="1">
        <v>45366</v>
      </c>
      <c r="I72" t="s">
        <v>107</v>
      </c>
      <c r="J72" t="s">
        <v>73</v>
      </c>
      <c r="K72" t="s">
        <v>49</v>
      </c>
      <c r="L72">
        <v>3</v>
      </c>
      <c r="M72">
        <v>5</v>
      </c>
      <c r="N72">
        <v>5</v>
      </c>
      <c r="O72" t="s">
        <v>35</v>
      </c>
      <c r="P72" t="s">
        <v>36</v>
      </c>
      <c r="Q72">
        <v>237</v>
      </c>
      <c r="R72">
        <v>65</v>
      </c>
      <c r="S72">
        <v>16</v>
      </c>
      <c r="T72" t="s">
        <v>36</v>
      </c>
      <c r="U72" t="s">
        <v>36</v>
      </c>
      <c r="V72" t="s">
        <v>36</v>
      </c>
      <c r="W72" t="s">
        <v>60</v>
      </c>
      <c r="X72">
        <v>2024</v>
      </c>
      <c r="Y72" t="s">
        <v>142</v>
      </c>
      <c r="Z72" t="s">
        <v>40</v>
      </c>
      <c r="AA72" t="s">
        <v>63</v>
      </c>
    </row>
    <row r="73" spans="1:27" x14ac:dyDescent="0.3">
      <c r="A73" t="s">
        <v>187</v>
      </c>
      <c r="B73" t="s">
        <v>43</v>
      </c>
      <c r="C73">
        <v>42</v>
      </c>
      <c r="D73" t="s">
        <v>29</v>
      </c>
      <c r="E73" t="s">
        <v>30</v>
      </c>
      <c r="F73" t="s">
        <v>56</v>
      </c>
      <c r="G73">
        <v>38171</v>
      </c>
      <c r="H73" s="1">
        <v>45317</v>
      </c>
      <c r="I73" t="s">
        <v>57</v>
      </c>
      <c r="J73" t="s">
        <v>118</v>
      </c>
      <c r="K73" t="s">
        <v>49</v>
      </c>
      <c r="L73">
        <v>3</v>
      </c>
      <c r="M73">
        <v>1</v>
      </c>
      <c r="N73">
        <v>1</v>
      </c>
      <c r="O73" t="s">
        <v>35</v>
      </c>
      <c r="P73" t="s">
        <v>36</v>
      </c>
      <c r="Q73">
        <v>256</v>
      </c>
      <c r="R73">
        <v>62</v>
      </c>
      <c r="S73">
        <v>27</v>
      </c>
      <c r="T73" t="s">
        <v>36</v>
      </c>
      <c r="U73" t="s">
        <v>36</v>
      </c>
      <c r="V73" t="s">
        <v>37</v>
      </c>
      <c r="W73" t="s">
        <v>38</v>
      </c>
      <c r="X73">
        <v>2024</v>
      </c>
      <c r="Y73" t="s">
        <v>94</v>
      </c>
      <c r="Z73" t="s">
        <v>70</v>
      </c>
      <c r="AA73" t="s">
        <v>63</v>
      </c>
    </row>
    <row r="74" spans="1:27" x14ac:dyDescent="0.3">
      <c r="A74" t="s">
        <v>188</v>
      </c>
      <c r="B74" t="s">
        <v>28</v>
      </c>
      <c r="C74">
        <v>31</v>
      </c>
      <c r="D74" t="s">
        <v>65</v>
      </c>
      <c r="E74" t="s">
        <v>72</v>
      </c>
      <c r="F74" t="s">
        <v>31</v>
      </c>
      <c r="G74">
        <v>44027</v>
      </c>
      <c r="H74" s="1">
        <v>43889</v>
      </c>
      <c r="I74" t="s">
        <v>47</v>
      </c>
      <c r="J74" t="s">
        <v>101</v>
      </c>
      <c r="K74" t="s">
        <v>34</v>
      </c>
      <c r="L74">
        <v>5</v>
      </c>
      <c r="M74">
        <v>3</v>
      </c>
      <c r="N74">
        <v>1</v>
      </c>
      <c r="O74" t="s">
        <v>68</v>
      </c>
      <c r="P74" t="s">
        <v>36</v>
      </c>
      <c r="Q74">
        <v>232</v>
      </c>
      <c r="R74">
        <v>51</v>
      </c>
      <c r="S74">
        <v>13</v>
      </c>
      <c r="T74" t="s">
        <v>36</v>
      </c>
      <c r="U74" t="s">
        <v>36</v>
      </c>
      <c r="V74" t="s">
        <v>37</v>
      </c>
      <c r="W74" t="s">
        <v>38</v>
      </c>
      <c r="X74">
        <v>2020</v>
      </c>
      <c r="Y74" t="s">
        <v>39</v>
      </c>
      <c r="Z74" t="s">
        <v>40</v>
      </c>
      <c r="AA74" t="s">
        <v>41</v>
      </c>
    </row>
    <row r="75" spans="1:27" x14ac:dyDescent="0.3">
      <c r="A75" t="s">
        <v>189</v>
      </c>
      <c r="B75" t="s">
        <v>43</v>
      </c>
      <c r="C75">
        <v>42</v>
      </c>
      <c r="D75" t="s">
        <v>77</v>
      </c>
      <c r="E75" t="s">
        <v>78</v>
      </c>
      <c r="F75" t="s">
        <v>56</v>
      </c>
      <c r="G75">
        <v>38965</v>
      </c>
      <c r="H75" s="1">
        <v>44816</v>
      </c>
      <c r="I75" t="s">
        <v>98</v>
      </c>
      <c r="J75" t="s">
        <v>73</v>
      </c>
      <c r="K75" t="s">
        <v>49</v>
      </c>
      <c r="L75">
        <v>0</v>
      </c>
      <c r="M75">
        <v>1</v>
      </c>
      <c r="N75">
        <v>5</v>
      </c>
      <c r="O75" t="s">
        <v>35</v>
      </c>
      <c r="P75" t="s">
        <v>36</v>
      </c>
      <c r="Q75">
        <v>199</v>
      </c>
      <c r="R75">
        <v>79</v>
      </c>
      <c r="S75">
        <v>23</v>
      </c>
      <c r="T75" t="s">
        <v>37</v>
      </c>
      <c r="U75" t="s">
        <v>36</v>
      </c>
      <c r="V75" t="s">
        <v>36</v>
      </c>
      <c r="W75" t="s">
        <v>60</v>
      </c>
      <c r="X75">
        <v>2022</v>
      </c>
      <c r="Y75" t="s">
        <v>51</v>
      </c>
      <c r="Z75" t="s">
        <v>70</v>
      </c>
      <c r="AA75" t="s">
        <v>63</v>
      </c>
    </row>
    <row r="76" spans="1:27" x14ac:dyDescent="0.3">
      <c r="A76" t="s">
        <v>190</v>
      </c>
      <c r="B76" t="s">
        <v>43</v>
      </c>
      <c r="C76">
        <v>21</v>
      </c>
      <c r="D76" t="s">
        <v>77</v>
      </c>
      <c r="E76" t="s">
        <v>138</v>
      </c>
      <c r="F76" t="s">
        <v>56</v>
      </c>
      <c r="G76">
        <v>38144</v>
      </c>
      <c r="H76" s="1">
        <v>46101</v>
      </c>
      <c r="I76" t="s">
        <v>47</v>
      </c>
      <c r="J76" t="s">
        <v>91</v>
      </c>
      <c r="K76" t="s">
        <v>58</v>
      </c>
      <c r="L76">
        <v>3</v>
      </c>
      <c r="M76">
        <v>3</v>
      </c>
      <c r="N76">
        <v>2</v>
      </c>
      <c r="O76" t="s">
        <v>50</v>
      </c>
      <c r="P76" t="s">
        <v>36</v>
      </c>
      <c r="Q76">
        <v>239</v>
      </c>
      <c r="R76">
        <v>44</v>
      </c>
      <c r="S76">
        <v>7</v>
      </c>
      <c r="T76" t="s">
        <v>37</v>
      </c>
      <c r="U76" t="s">
        <v>37</v>
      </c>
      <c r="V76" t="s">
        <v>36</v>
      </c>
      <c r="W76" t="s">
        <v>60</v>
      </c>
      <c r="X76">
        <v>2026</v>
      </c>
      <c r="Y76" t="s">
        <v>142</v>
      </c>
      <c r="Z76" t="s">
        <v>104</v>
      </c>
      <c r="AA76" t="s">
        <v>63</v>
      </c>
    </row>
    <row r="77" spans="1:27" x14ac:dyDescent="0.3">
      <c r="A77" t="s">
        <v>191</v>
      </c>
      <c r="B77" t="s">
        <v>43</v>
      </c>
      <c r="C77">
        <v>37</v>
      </c>
      <c r="D77" t="s">
        <v>44</v>
      </c>
      <c r="E77" t="s">
        <v>115</v>
      </c>
      <c r="F77" t="s">
        <v>31</v>
      </c>
      <c r="G77">
        <v>47077</v>
      </c>
      <c r="H77" s="1">
        <v>44677</v>
      </c>
      <c r="I77" t="s">
        <v>98</v>
      </c>
      <c r="J77" t="s">
        <v>73</v>
      </c>
      <c r="K77" t="s">
        <v>34</v>
      </c>
      <c r="L77">
        <v>2</v>
      </c>
      <c r="M77">
        <v>1</v>
      </c>
      <c r="N77">
        <v>5</v>
      </c>
      <c r="O77" t="s">
        <v>59</v>
      </c>
      <c r="P77" t="s">
        <v>36</v>
      </c>
      <c r="Q77">
        <v>256</v>
      </c>
      <c r="R77">
        <v>24</v>
      </c>
      <c r="S77">
        <v>7</v>
      </c>
      <c r="T77" t="s">
        <v>37</v>
      </c>
      <c r="U77" t="s">
        <v>37</v>
      </c>
      <c r="V77" t="s">
        <v>36</v>
      </c>
      <c r="W77" t="s">
        <v>60</v>
      </c>
      <c r="X77">
        <v>2022</v>
      </c>
      <c r="Y77" t="s">
        <v>69</v>
      </c>
      <c r="Z77" t="s">
        <v>62</v>
      </c>
      <c r="AA77" t="s">
        <v>41</v>
      </c>
    </row>
    <row r="78" spans="1:27" x14ac:dyDescent="0.3">
      <c r="A78" t="s">
        <v>192</v>
      </c>
      <c r="B78" t="s">
        <v>43</v>
      </c>
      <c r="C78">
        <v>32</v>
      </c>
      <c r="D78" t="s">
        <v>29</v>
      </c>
      <c r="E78" t="s">
        <v>122</v>
      </c>
      <c r="F78" t="s">
        <v>46</v>
      </c>
      <c r="G78">
        <v>109326</v>
      </c>
      <c r="H78" s="1">
        <v>45285</v>
      </c>
      <c r="I78" t="s">
        <v>32</v>
      </c>
      <c r="J78" t="s">
        <v>67</v>
      </c>
      <c r="K78" t="s">
        <v>49</v>
      </c>
      <c r="L78">
        <v>8</v>
      </c>
      <c r="M78">
        <v>5</v>
      </c>
      <c r="N78">
        <v>3</v>
      </c>
      <c r="O78" t="s">
        <v>68</v>
      </c>
      <c r="P78" t="s">
        <v>36</v>
      </c>
      <c r="Q78">
        <v>250</v>
      </c>
      <c r="R78">
        <v>52</v>
      </c>
      <c r="S78">
        <v>23</v>
      </c>
      <c r="T78" t="s">
        <v>36</v>
      </c>
      <c r="U78" t="s">
        <v>36</v>
      </c>
      <c r="V78" t="s">
        <v>36</v>
      </c>
      <c r="W78" t="s">
        <v>126</v>
      </c>
      <c r="X78">
        <v>2023</v>
      </c>
      <c r="Y78" t="s">
        <v>116</v>
      </c>
      <c r="Z78" t="s">
        <v>40</v>
      </c>
      <c r="AA78" t="s">
        <v>87</v>
      </c>
    </row>
    <row r="79" spans="1:27" x14ac:dyDescent="0.3">
      <c r="A79" t="s">
        <v>193</v>
      </c>
      <c r="B79" t="s">
        <v>43</v>
      </c>
      <c r="C79">
        <v>29</v>
      </c>
      <c r="D79" t="s">
        <v>81</v>
      </c>
      <c r="E79" t="s">
        <v>165</v>
      </c>
      <c r="F79" t="s">
        <v>96</v>
      </c>
      <c r="G79">
        <v>111241</v>
      </c>
      <c r="H79" s="1">
        <v>45942</v>
      </c>
      <c r="I79" t="s">
        <v>98</v>
      </c>
      <c r="J79" t="s">
        <v>48</v>
      </c>
      <c r="K79" t="s">
        <v>34</v>
      </c>
      <c r="L79">
        <v>11</v>
      </c>
      <c r="M79">
        <v>2</v>
      </c>
      <c r="N79">
        <v>3</v>
      </c>
      <c r="O79" t="s">
        <v>35</v>
      </c>
      <c r="P79" t="s">
        <v>37</v>
      </c>
      <c r="Q79">
        <v>232</v>
      </c>
      <c r="R79">
        <v>41</v>
      </c>
      <c r="S79">
        <v>4</v>
      </c>
      <c r="T79" t="s">
        <v>37</v>
      </c>
      <c r="U79" t="s">
        <v>36</v>
      </c>
      <c r="V79" t="s">
        <v>36</v>
      </c>
      <c r="W79" t="s">
        <v>60</v>
      </c>
      <c r="X79">
        <v>2025</v>
      </c>
      <c r="Y79" t="s">
        <v>83</v>
      </c>
      <c r="Z79" t="s">
        <v>75</v>
      </c>
      <c r="AA79" t="s">
        <v>87</v>
      </c>
    </row>
    <row r="80" spans="1:27" x14ac:dyDescent="0.3">
      <c r="A80" t="s">
        <v>194</v>
      </c>
      <c r="B80" t="s">
        <v>43</v>
      </c>
      <c r="C80">
        <v>32</v>
      </c>
      <c r="D80" t="s">
        <v>85</v>
      </c>
      <c r="E80" t="s">
        <v>159</v>
      </c>
      <c r="F80" t="s">
        <v>56</v>
      </c>
      <c r="G80">
        <v>35275</v>
      </c>
      <c r="H80" s="1">
        <v>44897</v>
      </c>
      <c r="I80" t="s">
        <v>57</v>
      </c>
      <c r="J80" t="s">
        <v>91</v>
      </c>
      <c r="K80" t="s">
        <v>58</v>
      </c>
      <c r="L80">
        <v>3</v>
      </c>
      <c r="M80">
        <v>1</v>
      </c>
      <c r="N80">
        <v>4</v>
      </c>
      <c r="O80" t="s">
        <v>35</v>
      </c>
      <c r="P80" t="s">
        <v>37</v>
      </c>
      <c r="Q80">
        <v>200</v>
      </c>
      <c r="R80">
        <v>45</v>
      </c>
      <c r="S80">
        <v>5</v>
      </c>
      <c r="T80" t="s">
        <v>36</v>
      </c>
      <c r="U80" t="s">
        <v>36</v>
      </c>
      <c r="V80" t="s">
        <v>36</v>
      </c>
      <c r="W80" t="s">
        <v>60</v>
      </c>
      <c r="X80">
        <v>2022</v>
      </c>
      <c r="Y80" t="s">
        <v>116</v>
      </c>
      <c r="Z80" t="s">
        <v>40</v>
      </c>
      <c r="AA80" t="s">
        <v>63</v>
      </c>
    </row>
    <row r="81" spans="1:27" x14ac:dyDescent="0.3">
      <c r="A81" t="s">
        <v>195</v>
      </c>
      <c r="B81" t="s">
        <v>28</v>
      </c>
      <c r="C81">
        <v>21</v>
      </c>
      <c r="D81" t="s">
        <v>85</v>
      </c>
      <c r="E81" t="s">
        <v>86</v>
      </c>
      <c r="F81" t="s">
        <v>46</v>
      </c>
      <c r="G81">
        <v>95962</v>
      </c>
      <c r="H81" s="1">
        <v>45387</v>
      </c>
      <c r="I81" t="s">
        <v>32</v>
      </c>
      <c r="J81" t="s">
        <v>118</v>
      </c>
      <c r="K81" t="s">
        <v>58</v>
      </c>
      <c r="L81">
        <v>7</v>
      </c>
      <c r="M81">
        <v>4</v>
      </c>
      <c r="N81">
        <v>5</v>
      </c>
      <c r="O81" t="s">
        <v>50</v>
      </c>
      <c r="P81" t="s">
        <v>37</v>
      </c>
      <c r="Q81">
        <v>160</v>
      </c>
      <c r="R81">
        <v>35</v>
      </c>
      <c r="S81">
        <v>11</v>
      </c>
      <c r="T81" t="s">
        <v>37</v>
      </c>
      <c r="U81" t="s">
        <v>37</v>
      </c>
      <c r="V81" t="s">
        <v>36</v>
      </c>
      <c r="W81" t="s">
        <v>60</v>
      </c>
      <c r="X81">
        <v>2024</v>
      </c>
      <c r="Y81" t="s">
        <v>69</v>
      </c>
      <c r="Z81" t="s">
        <v>104</v>
      </c>
      <c r="AA81" t="s">
        <v>87</v>
      </c>
    </row>
    <row r="82" spans="1:27" x14ac:dyDescent="0.3">
      <c r="A82" t="s">
        <v>196</v>
      </c>
      <c r="B82" t="s">
        <v>28</v>
      </c>
      <c r="C82">
        <v>30</v>
      </c>
      <c r="D82" t="s">
        <v>77</v>
      </c>
      <c r="E82" t="s">
        <v>133</v>
      </c>
      <c r="F82" t="s">
        <v>56</v>
      </c>
      <c r="G82">
        <v>31632</v>
      </c>
      <c r="H82" s="1">
        <v>45910</v>
      </c>
      <c r="I82" t="s">
        <v>107</v>
      </c>
      <c r="J82" t="s">
        <v>118</v>
      </c>
      <c r="K82" t="s">
        <v>58</v>
      </c>
      <c r="L82">
        <v>3</v>
      </c>
      <c r="M82">
        <v>5</v>
      </c>
      <c r="N82">
        <v>1</v>
      </c>
      <c r="O82" t="s">
        <v>50</v>
      </c>
      <c r="P82" t="s">
        <v>36</v>
      </c>
      <c r="Q82">
        <v>215</v>
      </c>
      <c r="R82">
        <v>35</v>
      </c>
      <c r="S82">
        <v>20</v>
      </c>
      <c r="T82" t="s">
        <v>36</v>
      </c>
      <c r="U82" t="s">
        <v>36</v>
      </c>
      <c r="V82" t="s">
        <v>36</v>
      </c>
      <c r="W82" t="s">
        <v>60</v>
      </c>
      <c r="X82">
        <v>2025</v>
      </c>
      <c r="Y82" t="s">
        <v>51</v>
      </c>
      <c r="Z82" t="s">
        <v>75</v>
      </c>
      <c r="AA82" t="s">
        <v>63</v>
      </c>
    </row>
    <row r="83" spans="1:27" x14ac:dyDescent="0.3">
      <c r="A83" t="s">
        <v>197</v>
      </c>
      <c r="B83" t="s">
        <v>28</v>
      </c>
      <c r="C83">
        <v>34</v>
      </c>
      <c r="D83" t="s">
        <v>65</v>
      </c>
      <c r="E83" t="s">
        <v>120</v>
      </c>
      <c r="F83" t="s">
        <v>56</v>
      </c>
      <c r="G83">
        <v>40794</v>
      </c>
      <c r="H83" s="1">
        <v>43644</v>
      </c>
      <c r="I83" t="s">
        <v>57</v>
      </c>
      <c r="J83" t="s">
        <v>91</v>
      </c>
      <c r="K83" t="s">
        <v>58</v>
      </c>
      <c r="L83">
        <v>3</v>
      </c>
      <c r="M83">
        <v>4</v>
      </c>
      <c r="N83">
        <v>3</v>
      </c>
      <c r="O83" t="s">
        <v>35</v>
      </c>
      <c r="P83" t="s">
        <v>36</v>
      </c>
      <c r="Q83">
        <v>245</v>
      </c>
      <c r="R83">
        <v>79</v>
      </c>
      <c r="S83">
        <v>25</v>
      </c>
      <c r="T83" t="s">
        <v>36</v>
      </c>
      <c r="U83" t="s">
        <v>37</v>
      </c>
      <c r="V83" t="s">
        <v>36</v>
      </c>
      <c r="W83" t="s">
        <v>60</v>
      </c>
      <c r="X83">
        <v>2019</v>
      </c>
      <c r="Y83" t="s">
        <v>61</v>
      </c>
      <c r="Z83" t="s">
        <v>40</v>
      </c>
      <c r="AA83" t="s">
        <v>41</v>
      </c>
    </row>
    <row r="84" spans="1:27" x14ac:dyDescent="0.3">
      <c r="A84" t="s">
        <v>198</v>
      </c>
      <c r="B84" t="s">
        <v>28</v>
      </c>
      <c r="C84">
        <v>42</v>
      </c>
      <c r="D84" t="s">
        <v>65</v>
      </c>
      <c r="E84" t="s">
        <v>66</v>
      </c>
      <c r="F84" t="s">
        <v>31</v>
      </c>
      <c r="G84">
        <v>69210</v>
      </c>
      <c r="H84" s="1">
        <v>45369</v>
      </c>
      <c r="I84" t="s">
        <v>32</v>
      </c>
      <c r="J84" t="s">
        <v>99</v>
      </c>
      <c r="K84" t="s">
        <v>58</v>
      </c>
      <c r="L84">
        <v>7</v>
      </c>
      <c r="M84">
        <v>4</v>
      </c>
      <c r="N84">
        <v>2</v>
      </c>
      <c r="O84" t="s">
        <v>35</v>
      </c>
      <c r="P84" t="s">
        <v>37</v>
      </c>
      <c r="Q84">
        <v>158</v>
      </c>
      <c r="R84">
        <v>45</v>
      </c>
      <c r="S84">
        <v>11</v>
      </c>
      <c r="T84" t="s">
        <v>36</v>
      </c>
      <c r="U84" t="s">
        <v>36</v>
      </c>
      <c r="V84" t="s">
        <v>37</v>
      </c>
      <c r="W84" t="s">
        <v>38</v>
      </c>
      <c r="X84">
        <v>2024</v>
      </c>
      <c r="Y84" t="s">
        <v>142</v>
      </c>
      <c r="Z84" t="s">
        <v>70</v>
      </c>
      <c r="AA84" t="s">
        <v>52</v>
      </c>
    </row>
    <row r="85" spans="1:27" x14ac:dyDescent="0.3">
      <c r="A85" t="s">
        <v>199</v>
      </c>
      <c r="B85" t="s">
        <v>43</v>
      </c>
      <c r="C85">
        <v>28</v>
      </c>
      <c r="D85" t="s">
        <v>89</v>
      </c>
      <c r="E85" t="s">
        <v>144</v>
      </c>
      <c r="F85" t="s">
        <v>56</v>
      </c>
      <c r="G85">
        <v>34262</v>
      </c>
      <c r="H85" s="1">
        <v>44928</v>
      </c>
      <c r="I85" t="s">
        <v>47</v>
      </c>
      <c r="J85" t="s">
        <v>101</v>
      </c>
      <c r="K85" t="s">
        <v>49</v>
      </c>
      <c r="L85">
        <v>2</v>
      </c>
      <c r="M85">
        <v>1</v>
      </c>
      <c r="N85">
        <v>3</v>
      </c>
      <c r="O85" t="s">
        <v>50</v>
      </c>
      <c r="P85" t="s">
        <v>36</v>
      </c>
      <c r="Q85">
        <v>165</v>
      </c>
      <c r="R85">
        <v>28</v>
      </c>
      <c r="S85">
        <v>17</v>
      </c>
      <c r="T85" t="s">
        <v>36</v>
      </c>
      <c r="U85" t="s">
        <v>36</v>
      </c>
      <c r="V85" t="s">
        <v>36</v>
      </c>
      <c r="W85" t="s">
        <v>126</v>
      </c>
      <c r="X85">
        <v>2023</v>
      </c>
      <c r="Y85" t="s">
        <v>94</v>
      </c>
      <c r="Z85" t="s">
        <v>75</v>
      </c>
      <c r="AA85" t="s">
        <v>63</v>
      </c>
    </row>
    <row r="86" spans="1:27" x14ac:dyDescent="0.3">
      <c r="A86" t="s">
        <v>200</v>
      </c>
      <c r="B86" t="s">
        <v>43</v>
      </c>
      <c r="C86">
        <v>26</v>
      </c>
      <c r="D86" t="s">
        <v>81</v>
      </c>
      <c r="E86" t="s">
        <v>201</v>
      </c>
      <c r="F86" t="s">
        <v>96</v>
      </c>
      <c r="G86">
        <v>100345</v>
      </c>
      <c r="H86" s="1">
        <v>45933</v>
      </c>
      <c r="I86" t="s">
        <v>107</v>
      </c>
      <c r="J86" t="s">
        <v>67</v>
      </c>
      <c r="K86" t="s">
        <v>49</v>
      </c>
      <c r="L86">
        <v>14</v>
      </c>
      <c r="M86">
        <v>2</v>
      </c>
      <c r="N86">
        <v>5</v>
      </c>
      <c r="O86" t="s">
        <v>59</v>
      </c>
      <c r="P86" t="s">
        <v>36</v>
      </c>
      <c r="Q86">
        <v>191</v>
      </c>
      <c r="R86">
        <v>26</v>
      </c>
      <c r="S86">
        <v>24</v>
      </c>
      <c r="T86" t="s">
        <v>36</v>
      </c>
      <c r="U86" t="s">
        <v>37</v>
      </c>
      <c r="V86" t="s">
        <v>37</v>
      </c>
      <c r="W86" t="s">
        <v>38</v>
      </c>
      <c r="X86">
        <v>2025</v>
      </c>
      <c r="Y86" t="s">
        <v>83</v>
      </c>
      <c r="Z86" t="s">
        <v>75</v>
      </c>
      <c r="AA86" t="s">
        <v>87</v>
      </c>
    </row>
    <row r="87" spans="1:27" x14ac:dyDescent="0.3">
      <c r="A87" t="s">
        <v>202</v>
      </c>
      <c r="B87" t="s">
        <v>43</v>
      </c>
      <c r="C87">
        <v>28</v>
      </c>
      <c r="D87" t="s">
        <v>89</v>
      </c>
      <c r="E87" t="s">
        <v>203</v>
      </c>
      <c r="F87" t="s">
        <v>46</v>
      </c>
      <c r="G87">
        <v>105294</v>
      </c>
      <c r="H87" s="1">
        <v>44590</v>
      </c>
      <c r="I87" t="s">
        <v>32</v>
      </c>
      <c r="J87" t="s">
        <v>99</v>
      </c>
      <c r="K87" t="s">
        <v>58</v>
      </c>
      <c r="L87">
        <v>11</v>
      </c>
      <c r="M87">
        <v>1</v>
      </c>
      <c r="N87">
        <v>1</v>
      </c>
      <c r="O87" t="s">
        <v>59</v>
      </c>
      <c r="P87" t="s">
        <v>36</v>
      </c>
      <c r="Q87">
        <v>231</v>
      </c>
      <c r="R87">
        <v>9</v>
      </c>
      <c r="S87">
        <v>6</v>
      </c>
      <c r="T87" t="s">
        <v>37</v>
      </c>
      <c r="U87" t="s">
        <v>36</v>
      </c>
      <c r="V87" t="s">
        <v>36</v>
      </c>
      <c r="W87" t="s">
        <v>60</v>
      </c>
      <c r="X87">
        <v>2022</v>
      </c>
      <c r="Y87" t="s">
        <v>94</v>
      </c>
      <c r="Z87" t="s">
        <v>75</v>
      </c>
      <c r="AA87" t="s">
        <v>87</v>
      </c>
    </row>
    <row r="88" spans="1:27" x14ac:dyDescent="0.3">
      <c r="A88" t="s">
        <v>204</v>
      </c>
      <c r="B88" t="s">
        <v>43</v>
      </c>
      <c r="C88">
        <v>38</v>
      </c>
      <c r="D88" t="s">
        <v>65</v>
      </c>
      <c r="E88" t="s">
        <v>72</v>
      </c>
      <c r="F88" t="s">
        <v>56</v>
      </c>
      <c r="G88">
        <v>33027</v>
      </c>
      <c r="H88" s="1">
        <v>44985</v>
      </c>
      <c r="I88" t="s">
        <v>47</v>
      </c>
      <c r="J88" t="s">
        <v>91</v>
      </c>
      <c r="K88" t="s">
        <v>34</v>
      </c>
      <c r="L88">
        <v>3</v>
      </c>
      <c r="M88">
        <v>3</v>
      </c>
      <c r="N88">
        <v>4</v>
      </c>
      <c r="O88" t="s">
        <v>50</v>
      </c>
      <c r="P88" t="s">
        <v>37</v>
      </c>
      <c r="Q88">
        <v>223</v>
      </c>
      <c r="R88">
        <v>36</v>
      </c>
      <c r="S88">
        <v>5</v>
      </c>
      <c r="T88" t="s">
        <v>37</v>
      </c>
      <c r="U88" t="s">
        <v>36</v>
      </c>
      <c r="V88" t="s">
        <v>36</v>
      </c>
      <c r="W88" t="s">
        <v>60</v>
      </c>
      <c r="X88">
        <v>2023</v>
      </c>
      <c r="Y88" t="s">
        <v>39</v>
      </c>
      <c r="Z88" t="s">
        <v>62</v>
      </c>
      <c r="AA88" t="s">
        <v>63</v>
      </c>
    </row>
    <row r="89" spans="1:27" x14ac:dyDescent="0.3">
      <c r="A89" t="s">
        <v>205</v>
      </c>
      <c r="B89" t="s">
        <v>43</v>
      </c>
      <c r="C89">
        <v>34</v>
      </c>
      <c r="D89" t="s">
        <v>77</v>
      </c>
      <c r="E89" t="s">
        <v>182</v>
      </c>
      <c r="F89" t="s">
        <v>46</v>
      </c>
      <c r="G89">
        <v>82058</v>
      </c>
      <c r="H89" s="1">
        <v>44344</v>
      </c>
      <c r="I89" t="s">
        <v>57</v>
      </c>
      <c r="J89" t="s">
        <v>101</v>
      </c>
      <c r="K89" t="s">
        <v>58</v>
      </c>
      <c r="L89">
        <v>12</v>
      </c>
      <c r="M89">
        <v>5</v>
      </c>
      <c r="N89">
        <v>3</v>
      </c>
      <c r="O89" t="s">
        <v>59</v>
      </c>
      <c r="P89" t="s">
        <v>36</v>
      </c>
      <c r="Q89">
        <v>212</v>
      </c>
      <c r="R89">
        <v>16</v>
      </c>
      <c r="S89">
        <v>27</v>
      </c>
      <c r="T89" t="s">
        <v>36</v>
      </c>
      <c r="U89" t="s">
        <v>36</v>
      </c>
      <c r="V89" t="s">
        <v>36</v>
      </c>
      <c r="W89" t="s">
        <v>60</v>
      </c>
      <c r="X89">
        <v>2021</v>
      </c>
      <c r="Y89" t="s">
        <v>74</v>
      </c>
      <c r="Z89" t="s">
        <v>40</v>
      </c>
      <c r="AA89" t="s">
        <v>52</v>
      </c>
    </row>
    <row r="90" spans="1:27" x14ac:dyDescent="0.3">
      <c r="A90" t="s">
        <v>206</v>
      </c>
      <c r="B90" t="s">
        <v>43</v>
      </c>
      <c r="C90">
        <v>28</v>
      </c>
      <c r="D90" t="s">
        <v>54</v>
      </c>
      <c r="E90" t="s">
        <v>207</v>
      </c>
      <c r="F90" t="s">
        <v>46</v>
      </c>
      <c r="G90">
        <v>75322</v>
      </c>
      <c r="H90" s="1">
        <v>44946</v>
      </c>
      <c r="I90" t="s">
        <v>47</v>
      </c>
      <c r="J90" t="s">
        <v>99</v>
      </c>
      <c r="K90" t="s">
        <v>49</v>
      </c>
      <c r="L90">
        <v>7</v>
      </c>
      <c r="M90">
        <v>5</v>
      </c>
      <c r="N90">
        <v>2</v>
      </c>
      <c r="O90" t="s">
        <v>50</v>
      </c>
      <c r="P90" t="s">
        <v>37</v>
      </c>
      <c r="Q90">
        <v>175</v>
      </c>
      <c r="R90">
        <v>64</v>
      </c>
      <c r="S90">
        <v>27</v>
      </c>
      <c r="T90" t="s">
        <v>36</v>
      </c>
      <c r="U90" t="s">
        <v>36</v>
      </c>
      <c r="V90" t="s">
        <v>36</v>
      </c>
      <c r="W90" t="s">
        <v>60</v>
      </c>
      <c r="X90">
        <v>2023</v>
      </c>
      <c r="Y90" t="s">
        <v>94</v>
      </c>
      <c r="Z90" t="s">
        <v>75</v>
      </c>
      <c r="AA90" t="s">
        <v>52</v>
      </c>
    </row>
    <row r="91" spans="1:27" x14ac:dyDescent="0.3">
      <c r="A91" t="s">
        <v>208</v>
      </c>
      <c r="B91" t="s">
        <v>28</v>
      </c>
      <c r="C91">
        <v>35</v>
      </c>
      <c r="D91" t="s">
        <v>54</v>
      </c>
      <c r="E91" t="s">
        <v>207</v>
      </c>
      <c r="F91" t="s">
        <v>96</v>
      </c>
      <c r="G91">
        <v>152739</v>
      </c>
      <c r="H91" s="1">
        <v>45148</v>
      </c>
      <c r="I91" t="s">
        <v>47</v>
      </c>
      <c r="J91" t="s">
        <v>101</v>
      </c>
      <c r="K91" t="s">
        <v>34</v>
      </c>
      <c r="L91">
        <v>16</v>
      </c>
      <c r="M91">
        <v>4</v>
      </c>
      <c r="N91">
        <v>5</v>
      </c>
      <c r="O91" t="s">
        <v>50</v>
      </c>
      <c r="P91" t="s">
        <v>37</v>
      </c>
      <c r="Q91">
        <v>166</v>
      </c>
      <c r="R91">
        <v>21</v>
      </c>
      <c r="S91">
        <v>30</v>
      </c>
      <c r="T91" t="s">
        <v>36</v>
      </c>
      <c r="U91" t="s">
        <v>36</v>
      </c>
      <c r="V91" t="s">
        <v>36</v>
      </c>
      <c r="W91" t="s">
        <v>60</v>
      </c>
      <c r="X91">
        <v>2023</v>
      </c>
      <c r="Y91" t="s">
        <v>128</v>
      </c>
      <c r="Z91" t="s">
        <v>40</v>
      </c>
      <c r="AA91" t="s">
        <v>105</v>
      </c>
    </row>
    <row r="92" spans="1:27" x14ac:dyDescent="0.3">
      <c r="A92" t="s">
        <v>209</v>
      </c>
      <c r="B92" t="s">
        <v>28</v>
      </c>
      <c r="C92">
        <v>32</v>
      </c>
      <c r="D92" t="s">
        <v>77</v>
      </c>
      <c r="E92" t="s">
        <v>182</v>
      </c>
      <c r="F92" t="s">
        <v>56</v>
      </c>
      <c r="G92">
        <v>44977</v>
      </c>
      <c r="H92" s="1">
        <v>44711</v>
      </c>
      <c r="I92" t="s">
        <v>98</v>
      </c>
      <c r="J92" t="s">
        <v>67</v>
      </c>
      <c r="K92" t="s">
        <v>58</v>
      </c>
      <c r="L92">
        <v>1</v>
      </c>
      <c r="M92">
        <v>2</v>
      </c>
      <c r="N92">
        <v>2</v>
      </c>
      <c r="O92" t="s">
        <v>50</v>
      </c>
      <c r="P92" t="s">
        <v>36</v>
      </c>
      <c r="Q92">
        <v>240</v>
      </c>
      <c r="R92">
        <v>30</v>
      </c>
      <c r="S92">
        <v>22</v>
      </c>
      <c r="T92" t="s">
        <v>36</v>
      </c>
      <c r="U92" t="s">
        <v>36</v>
      </c>
      <c r="V92" t="s">
        <v>36</v>
      </c>
      <c r="W92" t="s">
        <v>60</v>
      </c>
      <c r="X92">
        <v>2022</v>
      </c>
      <c r="Y92" t="s">
        <v>74</v>
      </c>
      <c r="Z92" t="s">
        <v>40</v>
      </c>
      <c r="AA92" t="s">
        <v>41</v>
      </c>
    </row>
    <row r="93" spans="1:27" x14ac:dyDescent="0.3">
      <c r="A93" t="s">
        <v>210</v>
      </c>
      <c r="B93" t="s">
        <v>28</v>
      </c>
      <c r="C93">
        <v>38</v>
      </c>
      <c r="D93" t="s">
        <v>81</v>
      </c>
      <c r="E93" t="s">
        <v>201</v>
      </c>
      <c r="F93" t="s">
        <v>31</v>
      </c>
      <c r="G93">
        <v>61392</v>
      </c>
      <c r="H93" s="1">
        <v>44097</v>
      </c>
      <c r="I93" t="s">
        <v>98</v>
      </c>
      <c r="J93" t="s">
        <v>99</v>
      </c>
      <c r="K93" t="s">
        <v>58</v>
      </c>
      <c r="L93">
        <v>6</v>
      </c>
      <c r="M93">
        <v>2</v>
      </c>
      <c r="N93">
        <v>5</v>
      </c>
      <c r="O93" t="s">
        <v>35</v>
      </c>
      <c r="P93" t="s">
        <v>36</v>
      </c>
      <c r="Q93">
        <v>227</v>
      </c>
      <c r="R93">
        <v>10</v>
      </c>
      <c r="S93">
        <v>22</v>
      </c>
      <c r="T93" t="s">
        <v>36</v>
      </c>
      <c r="U93" t="s">
        <v>36</v>
      </c>
      <c r="V93" t="s">
        <v>36</v>
      </c>
      <c r="W93" t="s">
        <v>60</v>
      </c>
      <c r="X93">
        <v>2020</v>
      </c>
      <c r="Y93" t="s">
        <v>51</v>
      </c>
      <c r="Z93" t="s">
        <v>62</v>
      </c>
      <c r="AA93" t="s">
        <v>52</v>
      </c>
    </row>
    <row r="94" spans="1:27" x14ac:dyDescent="0.3">
      <c r="A94" t="s">
        <v>211</v>
      </c>
      <c r="B94" t="s">
        <v>28</v>
      </c>
      <c r="C94">
        <v>27</v>
      </c>
      <c r="D94" t="s">
        <v>77</v>
      </c>
      <c r="E94" t="s">
        <v>182</v>
      </c>
      <c r="F94" t="s">
        <v>96</v>
      </c>
      <c r="G94">
        <v>127967</v>
      </c>
      <c r="H94" s="1">
        <v>44703</v>
      </c>
      <c r="I94" t="s">
        <v>57</v>
      </c>
      <c r="J94" t="s">
        <v>73</v>
      </c>
      <c r="K94" t="s">
        <v>49</v>
      </c>
      <c r="L94">
        <v>18</v>
      </c>
      <c r="M94">
        <v>4</v>
      </c>
      <c r="N94">
        <v>2</v>
      </c>
      <c r="O94" t="s">
        <v>59</v>
      </c>
      <c r="P94" t="s">
        <v>36</v>
      </c>
      <c r="Q94">
        <v>201</v>
      </c>
      <c r="R94">
        <v>66</v>
      </c>
      <c r="S94">
        <v>16</v>
      </c>
      <c r="T94" t="s">
        <v>37</v>
      </c>
      <c r="U94" t="s">
        <v>36</v>
      </c>
      <c r="V94" t="s">
        <v>36</v>
      </c>
      <c r="W94" t="s">
        <v>60</v>
      </c>
      <c r="X94">
        <v>2022</v>
      </c>
      <c r="Y94" t="s">
        <v>74</v>
      </c>
      <c r="Z94" t="s">
        <v>75</v>
      </c>
      <c r="AA94" t="s">
        <v>87</v>
      </c>
    </row>
    <row r="95" spans="1:27" x14ac:dyDescent="0.3">
      <c r="A95" t="s">
        <v>212</v>
      </c>
      <c r="B95" t="s">
        <v>28</v>
      </c>
      <c r="C95">
        <v>29</v>
      </c>
      <c r="D95" t="s">
        <v>65</v>
      </c>
      <c r="E95" t="s">
        <v>66</v>
      </c>
      <c r="F95" t="s">
        <v>46</v>
      </c>
      <c r="G95">
        <v>91130</v>
      </c>
      <c r="H95" s="1">
        <v>44983</v>
      </c>
      <c r="I95" t="s">
        <v>107</v>
      </c>
      <c r="J95" t="s">
        <v>101</v>
      </c>
      <c r="K95" t="s">
        <v>58</v>
      </c>
      <c r="L95">
        <v>7</v>
      </c>
      <c r="M95">
        <v>5</v>
      </c>
      <c r="N95">
        <v>5</v>
      </c>
      <c r="O95" t="s">
        <v>68</v>
      </c>
      <c r="P95" t="s">
        <v>37</v>
      </c>
      <c r="Q95">
        <v>190</v>
      </c>
      <c r="R95">
        <v>17</v>
      </c>
      <c r="S95">
        <v>3</v>
      </c>
      <c r="T95" t="s">
        <v>36</v>
      </c>
      <c r="U95" t="s">
        <v>36</v>
      </c>
      <c r="V95" t="s">
        <v>36</v>
      </c>
      <c r="W95" t="s">
        <v>126</v>
      </c>
      <c r="X95">
        <v>2023</v>
      </c>
      <c r="Y95" t="s">
        <v>39</v>
      </c>
      <c r="Z95" t="s">
        <v>75</v>
      </c>
      <c r="AA95" t="s">
        <v>87</v>
      </c>
    </row>
    <row r="96" spans="1:27" x14ac:dyDescent="0.3">
      <c r="A96" t="s">
        <v>213</v>
      </c>
      <c r="B96" t="s">
        <v>43</v>
      </c>
      <c r="C96">
        <v>29</v>
      </c>
      <c r="D96" t="s">
        <v>44</v>
      </c>
      <c r="E96" t="s">
        <v>115</v>
      </c>
      <c r="F96" t="s">
        <v>46</v>
      </c>
      <c r="G96">
        <v>102859</v>
      </c>
      <c r="H96" s="1">
        <v>44243</v>
      </c>
      <c r="I96" t="s">
        <v>47</v>
      </c>
      <c r="J96" t="s">
        <v>99</v>
      </c>
      <c r="K96" t="s">
        <v>58</v>
      </c>
      <c r="L96">
        <v>10</v>
      </c>
      <c r="M96">
        <v>2</v>
      </c>
      <c r="N96">
        <v>4</v>
      </c>
      <c r="O96" t="s">
        <v>59</v>
      </c>
      <c r="P96" t="s">
        <v>36</v>
      </c>
      <c r="Q96">
        <v>209</v>
      </c>
      <c r="R96">
        <v>69</v>
      </c>
      <c r="S96">
        <v>16</v>
      </c>
      <c r="T96" t="s">
        <v>37</v>
      </c>
      <c r="U96" t="s">
        <v>36</v>
      </c>
      <c r="V96" t="s">
        <v>36</v>
      </c>
      <c r="W96" t="s">
        <v>60</v>
      </c>
      <c r="X96">
        <v>2021</v>
      </c>
      <c r="Y96" t="s">
        <v>39</v>
      </c>
      <c r="Z96" t="s">
        <v>75</v>
      </c>
      <c r="AA96" t="s">
        <v>87</v>
      </c>
    </row>
    <row r="97" spans="1:27" x14ac:dyDescent="0.3">
      <c r="A97" t="s">
        <v>214</v>
      </c>
      <c r="B97" t="s">
        <v>43</v>
      </c>
      <c r="C97">
        <v>21</v>
      </c>
      <c r="D97" t="s">
        <v>29</v>
      </c>
      <c r="E97" t="s">
        <v>103</v>
      </c>
      <c r="F97" t="s">
        <v>46</v>
      </c>
      <c r="G97">
        <v>97433</v>
      </c>
      <c r="H97" s="1">
        <v>46145</v>
      </c>
      <c r="I97" t="s">
        <v>107</v>
      </c>
      <c r="J97" t="s">
        <v>91</v>
      </c>
      <c r="K97" t="s">
        <v>49</v>
      </c>
      <c r="L97">
        <v>14</v>
      </c>
      <c r="M97">
        <v>4</v>
      </c>
      <c r="N97">
        <v>3</v>
      </c>
      <c r="O97" t="s">
        <v>50</v>
      </c>
      <c r="P97" t="s">
        <v>36</v>
      </c>
      <c r="Q97">
        <v>151</v>
      </c>
      <c r="R97">
        <v>10</v>
      </c>
      <c r="S97">
        <v>14</v>
      </c>
      <c r="T97" t="s">
        <v>37</v>
      </c>
      <c r="U97" t="s">
        <v>37</v>
      </c>
      <c r="V97" t="s">
        <v>36</v>
      </c>
      <c r="W97" t="s">
        <v>60</v>
      </c>
      <c r="X97">
        <v>2026</v>
      </c>
      <c r="Y97" t="s">
        <v>74</v>
      </c>
      <c r="Z97" t="s">
        <v>104</v>
      </c>
      <c r="AA97" t="s">
        <v>87</v>
      </c>
    </row>
    <row r="98" spans="1:27" x14ac:dyDescent="0.3">
      <c r="A98" t="s">
        <v>215</v>
      </c>
      <c r="B98" t="s">
        <v>43</v>
      </c>
      <c r="C98">
        <v>34</v>
      </c>
      <c r="D98" t="s">
        <v>81</v>
      </c>
      <c r="E98" t="s">
        <v>201</v>
      </c>
      <c r="F98" t="s">
        <v>96</v>
      </c>
      <c r="G98">
        <v>156093</v>
      </c>
      <c r="H98" s="1">
        <v>45718</v>
      </c>
      <c r="I98" t="s">
        <v>57</v>
      </c>
      <c r="J98" t="s">
        <v>118</v>
      </c>
      <c r="K98" t="s">
        <v>49</v>
      </c>
      <c r="L98">
        <v>15</v>
      </c>
      <c r="M98">
        <v>3</v>
      </c>
      <c r="N98">
        <v>5</v>
      </c>
      <c r="O98" t="s">
        <v>50</v>
      </c>
      <c r="P98" t="s">
        <v>36</v>
      </c>
      <c r="Q98">
        <v>228</v>
      </c>
      <c r="R98">
        <v>76</v>
      </c>
      <c r="S98">
        <v>13</v>
      </c>
      <c r="T98" t="s">
        <v>37</v>
      </c>
      <c r="U98" t="s">
        <v>37</v>
      </c>
      <c r="V98" t="s">
        <v>36</v>
      </c>
      <c r="W98" t="s">
        <v>60</v>
      </c>
      <c r="X98">
        <v>2025</v>
      </c>
      <c r="Y98" t="s">
        <v>142</v>
      </c>
      <c r="Z98" t="s">
        <v>40</v>
      </c>
      <c r="AA98" t="s">
        <v>105</v>
      </c>
    </row>
    <row r="99" spans="1:27" x14ac:dyDescent="0.3">
      <c r="A99" t="s">
        <v>216</v>
      </c>
      <c r="B99" t="s">
        <v>43</v>
      </c>
      <c r="C99">
        <v>33</v>
      </c>
      <c r="D99" t="s">
        <v>29</v>
      </c>
      <c r="E99" t="s">
        <v>103</v>
      </c>
      <c r="F99" t="s">
        <v>56</v>
      </c>
      <c r="G99">
        <v>32490</v>
      </c>
      <c r="H99" s="1">
        <v>45406</v>
      </c>
      <c r="I99" t="s">
        <v>98</v>
      </c>
      <c r="J99" t="s">
        <v>91</v>
      </c>
      <c r="K99" t="s">
        <v>58</v>
      </c>
      <c r="L99">
        <v>2</v>
      </c>
      <c r="M99">
        <v>5</v>
      </c>
      <c r="N99">
        <v>4</v>
      </c>
      <c r="O99" t="s">
        <v>59</v>
      </c>
      <c r="P99" t="s">
        <v>37</v>
      </c>
      <c r="Q99">
        <v>227</v>
      </c>
      <c r="R99">
        <v>43</v>
      </c>
      <c r="S99">
        <v>20</v>
      </c>
      <c r="T99" t="s">
        <v>36</v>
      </c>
      <c r="U99" t="s">
        <v>36</v>
      </c>
      <c r="V99" t="s">
        <v>36</v>
      </c>
      <c r="W99" t="s">
        <v>126</v>
      </c>
      <c r="X99">
        <v>2024</v>
      </c>
      <c r="Y99" t="s">
        <v>69</v>
      </c>
      <c r="Z99" t="s">
        <v>40</v>
      </c>
      <c r="AA99" t="s">
        <v>63</v>
      </c>
    </row>
    <row r="100" spans="1:27" x14ac:dyDescent="0.3">
      <c r="A100" t="s">
        <v>217</v>
      </c>
      <c r="B100" t="s">
        <v>43</v>
      </c>
      <c r="C100">
        <v>32</v>
      </c>
      <c r="D100" t="s">
        <v>89</v>
      </c>
      <c r="E100" t="s">
        <v>203</v>
      </c>
      <c r="F100" t="s">
        <v>46</v>
      </c>
      <c r="G100">
        <v>86708</v>
      </c>
      <c r="H100" s="1">
        <v>45172</v>
      </c>
      <c r="I100" t="s">
        <v>107</v>
      </c>
      <c r="J100" t="s">
        <v>33</v>
      </c>
      <c r="K100" t="s">
        <v>34</v>
      </c>
      <c r="L100">
        <v>6</v>
      </c>
      <c r="M100">
        <v>5</v>
      </c>
      <c r="N100">
        <v>3</v>
      </c>
      <c r="O100" t="s">
        <v>35</v>
      </c>
      <c r="P100" t="s">
        <v>36</v>
      </c>
      <c r="Q100">
        <v>238</v>
      </c>
      <c r="R100">
        <v>79</v>
      </c>
      <c r="S100">
        <v>17</v>
      </c>
      <c r="T100" t="s">
        <v>37</v>
      </c>
      <c r="U100" t="s">
        <v>37</v>
      </c>
      <c r="V100" t="s">
        <v>36</v>
      </c>
      <c r="W100" t="s">
        <v>126</v>
      </c>
      <c r="X100">
        <v>2023</v>
      </c>
      <c r="Y100" t="s">
        <v>51</v>
      </c>
      <c r="Z100" t="s">
        <v>40</v>
      </c>
      <c r="AA100" t="s">
        <v>52</v>
      </c>
    </row>
    <row r="101" spans="1:27" x14ac:dyDescent="0.3">
      <c r="A101" t="s">
        <v>218</v>
      </c>
      <c r="B101" t="s">
        <v>28</v>
      </c>
      <c r="C101">
        <v>30</v>
      </c>
      <c r="D101" t="s">
        <v>44</v>
      </c>
      <c r="E101" t="s">
        <v>219</v>
      </c>
      <c r="F101" t="s">
        <v>56</v>
      </c>
      <c r="G101">
        <v>34251</v>
      </c>
      <c r="H101" s="1">
        <v>45272</v>
      </c>
      <c r="I101" t="s">
        <v>98</v>
      </c>
      <c r="J101" t="s">
        <v>101</v>
      </c>
      <c r="K101" t="s">
        <v>34</v>
      </c>
      <c r="L101">
        <v>0</v>
      </c>
      <c r="M101">
        <v>3</v>
      </c>
      <c r="N101">
        <v>4</v>
      </c>
      <c r="O101" t="s">
        <v>35</v>
      </c>
      <c r="P101" t="s">
        <v>37</v>
      </c>
      <c r="Q101">
        <v>202</v>
      </c>
      <c r="R101">
        <v>22</v>
      </c>
      <c r="S101">
        <v>18</v>
      </c>
      <c r="T101" t="s">
        <v>37</v>
      </c>
      <c r="U101" t="s">
        <v>36</v>
      </c>
      <c r="V101" t="s">
        <v>36</v>
      </c>
      <c r="W101" t="s">
        <v>60</v>
      </c>
      <c r="X101">
        <v>2023</v>
      </c>
      <c r="Y101" t="s">
        <v>116</v>
      </c>
      <c r="Z101" t="s">
        <v>75</v>
      </c>
      <c r="AA101" t="s">
        <v>63</v>
      </c>
    </row>
    <row r="102" spans="1:27" x14ac:dyDescent="0.3">
      <c r="A102" t="s">
        <v>220</v>
      </c>
      <c r="B102" t="s">
        <v>43</v>
      </c>
      <c r="C102">
        <v>22</v>
      </c>
      <c r="D102" t="s">
        <v>77</v>
      </c>
      <c r="E102" t="s">
        <v>78</v>
      </c>
      <c r="F102" t="s">
        <v>31</v>
      </c>
      <c r="G102">
        <v>57062</v>
      </c>
      <c r="H102" s="1">
        <v>44868</v>
      </c>
      <c r="I102" t="s">
        <v>32</v>
      </c>
      <c r="J102" t="s">
        <v>33</v>
      </c>
      <c r="K102" t="s">
        <v>49</v>
      </c>
      <c r="L102">
        <v>6</v>
      </c>
      <c r="M102">
        <v>5</v>
      </c>
      <c r="N102">
        <v>3</v>
      </c>
      <c r="O102" t="s">
        <v>50</v>
      </c>
      <c r="P102" t="s">
        <v>36</v>
      </c>
      <c r="Q102">
        <v>248</v>
      </c>
      <c r="R102">
        <v>33</v>
      </c>
      <c r="S102">
        <v>11</v>
      </c>
      <c r="T102" t="s">
        <v>36</v>
      </c>
      <c r="U102" t="s">
        <v>36</v>
      </c>
      <c r="V102" t="s">
        <v>36</v>
      </c>
      <c r="W102" t="s">
        <v>60</v>
      </c>
      <c r="X102">
        <v>2022</v>
      </c>
      <c r="Y102" t="s">
        <v>123</v>
      </c>
      <c r="Z102" t="s">
        <v>104</v>
      </c>
      <c r="AA102" t="s">
        <v>41</v>
      </c>
    </row>
    <row r="103" spans="1:27" x14ac:dyDescent="0.3">
      <c r="A103" t="s">
        <v>221</v>
      </c>
      <c r="B103" t="s">
        <v>43</v>
      </c>
      <c r="C103">
        <v>29</v>
      </c>
      <c r="D103" t="s">
        <v>65</v>
      </c>
      <c r="E103" t="s">
        <v>72</v>
      </c>
      <c r="F103" t="s">
        <v>46</v>
      </c>
      <c r="G103">
        <v>101732</v>
      </c>
      <c r="H103" s="1">
        <v>44644</v>
      </c>
      <c r="I103" t="s">
        <v>47</v>
      </c>
      <c r="J103" t="s">
        <v>91</v>
      </c>
      <c r="K103" t="s">
        <v>58</v>
      </c>
      <c r="L103">
        <v>9</v>
      </c>
      <c r="M103">
        <v>1</v>
      </c>
      <c r="N103">
        <v>5</v>
      </c>
      <c r="O103" t="s">
        <v>50</v>
      </c>
      <c r="P103" t="s">
        <v>36</v>
      </c>
      <c r="Q103">
        <v>219</v>
      </c>
      <c r="R103">
        <v>10</v>
      </c>
      <c r="S103">
        <v>11</v>
      </c>
      <c r="T103" t="s">
        <v>36</v>
      </c>
      <c r="U103" t="s">
        <v>36</v>
      </c>
      <c r="V103" t="s">
        <v>36</v>
      </c>
      <c r="W103" t="s">
        <v>60</v>
      </c>
      <c r="X103">
        <v>2022</v>
      </c>
      <c r="Y103" t="s">
        <v>142</v>
      </c>
      <c r="Z103" t="s">
        <v>75</v>
      </c>
      <c r="AA103" t="s">
        <v>87</v>
      </c>
    </row>
    <row r="104" spans="1:27" x14ac:dyDescent="0.3">
      <c r="A104" t="s">
        <v>222</v>
      </c>
      <c r="B104" t="s">
        <v>43</v>
      </c>
      <c r="C104">
        <v>29</v>
      </c>
      <c r="D104" t="s">
        <v>89</v>
      </c>
      <c r="E104" t="s">
        <v>144</v>
      </c>
      <c r="F104" t="s">
        <v>96</v>
      </c>
      <c r="G104">
        <v>118047</v>
      </c>
      <c r="H104" s="1">
        <v>45672</v>
      </c>
      <c r="I104" t="s">
        <v>98</v>
      </c>
      <c r="J104" t="s">
        <v>33</v>
      </c>
      <c r="K104" t="s">
        <v>58</v>
      </c>
      <c r="L104">
        <v>11</v>
      </c>
      <c r="M104">
        <v>3</v>
      </c>
      <c r="N104">
        <v>5</v>
      </c>
      <c r="O104" t="s">
        <v>35</v>
      </c>
      <c r="P104" t="s">
        <v>36</v>
      </c>
      <c r="Q104">
        <v>184</v>
      </c>
      <c r="R104">
        <v>72</v>
      </c>
      <c r="S104">
        <v>9</v>
      </c>
      <c r="T104" t="s">
        <v>36</v>
      </c>
      <c r="U104" t="s">
        <v>36</v>
      </c>
      <c r="V104" t="s">
        <v>36</v>
      </c>
      <c r="W104" t="s">
        <v>60</v>
      </c>
      <c r="X104">
        <v>2025</v>
      </c>
      <c r="Y104" t="s">
        <v>94</v>
      </c>
      <c r="Z104" t="s">
        <v>75</v>
      </c>
      <c r="AA104" t="s">
        <v>87</v>
      </c>
    </row>
    <row r="105" spans="1:27" x14ac:dyDescent="0.3">
      <c r="A105" t="s">
        <v>223</v>
      </c>
      <c r="B105" t="s">
        <v>28</v>
      </c>
      <c r="C105">
        <v>26</v>
      </c>
      <c r="D105" t="s">
        <v>54</v>
      </c>
      <c r="E105" t="s">
        <v>55</v>
      </c>
      <c r="F105" t="s">
        <v>46</v>
      </c>
      <c r="G105">
        <v>95959</v>
      </c>
      <c r="H105" s="1">
        <v>46256</v>
      </c>
      <c r="I105" t="s">
        <v>47</v>
      </c>
      <c r="J105" t="s">
        <v>101</v>
      </c>
      <c r="K105" t="s">
        <v>34</v>
      </c>
      <c r="L105">
        <v>6</v>
      </c>
      <c r="M105">
        <v>2</v>
      </c>
      <c r="N105">
        <v>1</v>
      </c>
      <c r="O105" t="s">
        <v>68</v>
      </c>
      <c r="P105" t="s">
        <v>36</v>
      </c>
      <c r="Q105">
        <v>170</v>
      </c>
      <c r="R105">
        <v>41</v>
      </c>
      <c r="S105">
        <v>12</v>
      </c>
      <c r="T105" t="s">
        <v>36</v>
      </c>
      <c r="U105" t="s">
        <v>36</v>
      </c>
      <c r="V105" t="s">
        <v>36</v>
      </c>
      <c r="W105" t="s">
        <v>60</v>
      </c>
      <c r="X105">
        <v>2026</v>
      </c>
      <c r="Y105" t="s">
        <v>128</v>
      </c>
      <c r="Z105" t="s">
        <v>75</v>
      </c>
      <c r="AA105" t="s">
        <v>87</v>
      </c>
    </row>
    <row r="106" spans="1:27" x14ac:dyDescent="0.3">
      <c r="A106" t="s">
        <v>224</v>
      </c>
      <c r="B106" t="s">
        <v>28</v>
      </c>
      <c r="C106">
        <v>30</v>
      </c>
      <c r="D106" t="s">
        <v>44</v>
      </c>
      <c r="E106" t="s">
        <v>219</v>
      </c>
      <c r="F106" t="s">
        <v>31</v>
      </c>
      <c r="G106">
        <v>55693</v>
      </c>
      <c r="H106" s="1">
        <v>43614</v>
      </c>
      <c r="I106" t="s">
        <v>57</v>
      </c>
      <c r="J106" t="s">
        <v>67</v>
      </c>
      <c r="K106" t="s">
        <v>34</v>
      </c>
      <c r="L106">
        <v>3</v>
      </c>
      <c r="M106">
        <v>4</v>
      </c>
      <c r="N106">
        <v>4</v>
      </c>
      <c r="O106" t="s">
        <v>35</v>
      </c>
      <c r="P106" t="s">
        <v>37</v>
      </c>
      <c r="Q106">
        <v>245</v>
      </c>
      <c r="R106">
        <v>47</v>
      </c>
      <c r="S106">
        <v>11</v>
      </c>
      <c r="T106" t="s">
        <v>36</v>
      </c>
      <c r="U106" t="s">
        <v>36</v>
      </c>
      <c r="V106" t="s">
        <v>36</v>
      </c>
      <c r="W106" t="s">
        <v>126</v>
      </c>
      <c r="X106">
        <v>2019</v>
      </c>
      <c r="Y106" t="s">
        <v>74</v>
      </c>
      <c r="Z106" t="s">
        <v>75</v>
      </c>
      <c r="AA106" t="s">
        <v>41</v>
      </c>
    </row>
    <row r="107" spans="1:27" x14ac:dyDescent="0.3">
      <c r="A107" t="s">
        <v>225</v>
      </c>
      <c r="B107" t="s">
        <v>28</v>
      </c>
      <c r="C107">
        <v>34</v>
      </c>
      <c r="D107" t="s">
        <v>89</v>
      </c>
      <c r="E107" t="s">
        <v>144</v>
      </c>
      <c r="F107" t="s">
        <v>31</v>
      </c>
      <c r="G107">
        <v>68503</v>
      </c>
      <c r="H107" s="1">
        <v>44820</v>
      </c>
      <c r="I107" t="s">
        <v>107</v>
      </c>
      <c r="J107" t="s">
        <v>67</v>
      </c>
      <c r="K107" t="s">
        <v>34</v>
      </c>
      <c r="L107">
        <v>2</v>
      </c>
      <c r="M107">
        <v>2</v>
      </c>
      <c r="N107">
        <v>4</v>
      </c>
      <c r="O107" t="s">
        <v>68</v>
      </c>
      <c r="P107" t="s">
        <v>36</v>
      </c>
      <c r="Q107">
        <v>182</v>
      </c>
      <c r="R107">
        <v>27</v>
      </c>
      <c r="S107">
        <v>21</v>
      </c>
      <c r="T107" t="s">
        <v>36</v>
      </c>
      <c r="U107" t="s">
        <v>36</v>
      </c>
      <c r="V107" t="s">
        <v>37</v>
      </c>
      <c r="W107" t="s">
        <v>38</v>
      </c>
      <c r="X107">
        <v>2022</v>
      </c>
      <c r="Y107" t="s">
        <v>51</v>
      </c>
      <c r="Z107" t="s">
        <v>40</v>
      </c>
      <c r="AA107" t="s">
        <v>52</v>
      </c>
    </row>
    <row r="108" spans="1:27" x14ac:dyDescent="0.3">
      <c r="A108" t="s">
        <v>226</v>
      </c>
      <c r="B108" t="s">
        <v>43</v>
      </c>
      <c r="C108">
        <v>45</v>
      </c>
      <c r="D108" t="s">
        <v>77</v>
      </c>
      <c r="E108" t="s">
        <v>78</v>
      </c>
      <c r="F108" t="s">
        <v>56</v>
      </c>
      <c r="G108">
        <v>41134</v>
      </c>
      <c r="H108" s="1">
        <v>44222</v>
      </c>
      <c r="I108" t="s">
        <v>32</v>
      </c>
      <c r="J108" t="s">
        <v>101</v>
      </c>
      <c r="K108" t="s">
        <v>49</v>
      </c>
      <c r="L108">
        <v>0</v>
      </c>
      <c r="M108">
        <v>2</v>
      </c>
      <c r="N108">
        <v>4</v>
      </c>
      <c r="O108" t="s">
        <v>50</v>
      </c>
      <c r="P108" t="s">
        <v>36</v>
      </c>
      <c r="Q108">
        <v>181</v>
      </c>
      <c r="R108">
        <v>43</v>
      </c>
      <c r="S108">
        <v>20</v>
      </c>
      <c r="T108" t="s">
        <v>36</v>
      </c>
      <c r="U108" t="s">
        <v>37</v>
      </c>
      <c r="V108" t="s">
        <v>36</v>
      </c>
      <c r="W108" t="s">
        <v>60</v>
      </c>
      <c r="X108">
        <v>2021</v>
      </c>
      <c r="Y108" t="s">
        <v>94</v>
      </c>
      <c r="Z108" t="s">
        <v>70</v>
      </c>
      <c r="AA108" t="s">
        <v>41</v>
      </c>
    </row>
    <row r="109" spans="1:27" x14ac:dyDescent="0.3">
      <c r="A109" t="s">
        <v>227</v>
      </c>
      <c r="B109" t="s">
        <v>43</v>
      </c>
      <c r="C109">
        <v>33</v>
      </c>
      <c r="D109" t="s">
        <v>65</v>
      </c>
      <c r="E109" t="s">
        <v>147</v>
      </c>
      <c r="F109" t="s">
        <v>56</v>
      </c>
      <c r="G109">
        <v>31873</v>
      </c>
      <c r="H109" s="1">
        <v>44722</v>
      </c>
      <c r="I109" t="s">
        <v>107</v>
      </c>
      <c r="J109" t="s">
        <v>91</v>
      </c>
      <c r="K109" t="s">
        <v>34</v>
      </c>
      <c r="L109">
        <v>3</v>
      </c>
      <c r="M109">
        <v>2</v>
      </c>
      <c r="N109">
        <v>4</v>
      </c>
      <c r="O109" t="s">
        <v>68</v>
      </c>
      <c r="P109" t="s">
        <v>36</v>
      </c>
      <c r="Q109">
        <v>214</v>
      </c>
      <c r="R109">
        <v>33</v>
      </c>
      <c r="S109">
        <v>6</v>
      </c>
      <c r="T109" t="s">
        <v>36</v>
      </c>
      <c r="U109" t="s">
        <v>36</v>
      </c>
      <c r="V109" t="s">
        <v>36</v>
      </c>
      <c r="W109" t="s">
        <v>60</v>
      </c>
      <c r="X109">
        <v>2022</v>
      </c>
      <c r="Y109" t="s">
        <v>61</v>
      </c>
      <c r="Z109" t="s">
        <v>40</v>
      </c>
      <c r="AA109" t="s">
        <v>63</v>
      </c>
    </row>
    <row r="110" spans="1:27" x14ac:dyDescent="0.3">
      <c r="A110" t="s">
        <v>228</v>
      </c>
      <c r="B110" t="s">
        <v>43</v>
      </c>
      <c r="C110">
        <v>33</v>
      </c>
      <c r="D110" t="s">
        <v>65</v>
      </c>
      <c r="E110" t="s">
        <v>72</v>
      </c>
      <c r="F110" t="s">
        <v>96</v>
      </c>
      <c r="G110">
        <v>118627</v>
      </c>
      <c r="H110" s="1">
        <v>44479</v>
      </c>
      <c r="I110" t="s">
        <v>98</v>
      </c>
      <c r="J110" t="s">
        <v>48</v>
      </c>
      <c r="K110" t="s">
        <v>58</v>
      </c>
      <c r="L110">
        <v>20</v>
      </c>
      <c r="M110">
        <v>5</v>
      </c>
      <c r="N110">
        <v>1</v>
      </c>
      <c r="O110" t="s">
        <v>68</v>
      </c>
      <c r="P110" t="s">
        <v>36</v>
      </c>
      <c r="Q110">
        <v>207</v>
      </c>
      <c r="R110">
        <v>78</v>
      </c>
      <c r="S110">
        <v>19</v>
      </c>
      <c r="T110" t="s">
        <v>37</v>
      </c>
      <c r="U110" t="s">
        <v>36</v>
      </c>
      <c r="V110" t="s">
        <v>37</v>
      </c>
      <c r="W110" t="s">
        <v>38</v>
      </c>
      <c r="X110">
        <v>2021</v>
      </c>
      <c r="Y110" t="s">
        <v>83</v>
      </c>
      <c r="Z110" t="s">
        <v>40</v>
      </c>
      <c r="AA110" t="s">
        <v>87</v>
      </c>
    </row>
    <row r="111" spans="1:27" x14ac:dyDescent="0.3">
      <c r="A111" t="s">
        <v>229</v>
      </c>
      <c r="B111" t="s">
        <v>28</v>
      </c>
      <c r="C111">
        <v>31</v>
      </c>
      <c r="D111" t="s">
        <v>65</v>
      </c>
      <c r="E111" t="s">
        <v>72</v>
      </c>
      <c r="F111" t="s">
        <v>56</v>
      </c>
      <c r="G111">
        <v>34730</v>
      </c>
      <c r="H111" s="1">
        <v>43838</v>
      </c>
      <c r="I111" t="s">
        <v>47</v>
      </c>
      <c r="J111" t="s">
        <v>99</v>
      </c>
      <c r="K111" t="s">
        <v>34</v>
      </c>
      <c r="L111">
        <v>3</v>
      </c>
      <c r="M111">
        <v>5</v>
      </c>
      <c r="N111">
        <v>4</v>
      </c>
      <c r="O111" t="s">
        <v>59</v>
      </c>
      <c r="P111" t="s">
        <v>37</v>
      </c>
      <c r="Q111">
        <v>208</v>
      </c>
      <c r="R111">
        <v>44</v>
      </c>
      <c r="S111">
        <v>25</v>
      </c>
      <c r="T111" t="s">
        <v>37</v>
      </c>
      <c r="U111" t="s">
        <v>36</v>
      </c>
      <c r="V111" t="s">
        <v>36</v>
      </c>
      <c r="W111" t="s">
        <v>126</v>
      </c>
      <c r="X111">
        <v>2020</v>
      </c>
      <c r="Y111" t="s">
        <v>94</v>
      </c>
      <c r="Z111" t="s">
        <v>40</v>
      </c>
      <c r="AA111" t="s">
        <v>63</v>
      </c>
    </row>
    <row r="112" spans="1:27" x14ac:dyDescent="0.3">
      <c r="A112" t="s">
        <v>230</v>
      </c>
      <c r="B112" t="s">
        <v>43</v>
      </c>
      <c r="C112">
        <v>21</v>
      </c>
      <c r="D112" t="s">
        <v>29</v>
      </c>
      <c r="E112" t="s">
        <v>93</v>
      </c>
      <c r="F112" t="s">
        <v>56</v>
      </c>
      <c r="G112">
        <v>29484</v>
      </c>
      <c r="H112" s="1">
        <v>44877</v>
      </c>
      <c r="I112" t="s">
        <v>47</v>
      </c>
      <c r="J112" t="s">
        <v>73</v>
      </c>
      <c r="K112" t="s">
        <v>58</v>
      </c>
      <c r="L112">
        <v>3</v>
      </c>
      <c r="M112">
        <v>1</v>
      </c>
      <c r="N112">
        <v>5</v>
      </c>
      <c r="O112" t="s">
        <v>59</v>
      </c>
      <c r="P112" t="s">
        <v>37</v>
      </c>
      <c r="Q112">
        <v>158</v>
      </c>
      <c r="R112">
        <v>52</v>
      </c>
      <c r="S112">
        <v>30</v>
      </c>
      <c r="T112" t="s">
        <v>36</v>
      </c>
      <c r="U112" t="s">
        <v>36</v>
      </c>
      <c r="V112" t="s">
        <v>37</v>
      </c>
      <c r="W112" t="s">
        <v>38</v>
      </c>
      <c r="X112">
        <v>2022</v>
      </c>
      <c r="Y112" t="s">
        <v>123</v>
      </c>
      <c r="Z112" t="s">
        <v>104</v>
      </c>
      <c r="AA112" t="s">
        <v>63</v>
      </c>
    </row>
    <row r="113" spans="1:27" x14ac:dyDescent="0.3">
      <c r="A113" t="s">
        <v>231</v>
      </c>
      <c r="B113" t="s">
        <v>43</v>
      </c>
      <c r="C113">
        <v>31</v>
      </c>
      <c r="D113" t="s">
        <v>77</v>
      </c>
      <c r="E113" t="s">
        <v>133</v>
      </c>
      <c r="F113" t="s">
        <v>56</v>
      </c>
      <c r="G113">
        <v>32357</v>
      </c>
      <c r="H113" s="1">
        <v>43951</v>
      </c>
      <c r="I113" t="s">
        <v>32</v>
      </c>
      <c r="J113" t="s">
        <v>99</v>
      </c>
      <c r="K113" t="s">
        <v>58</v>
      </c>
      <c r="L113">
        <v>2</v>
      </c>
      <c r="M113">
        <v>2</v>
      </c>
      <c r="N113">
        <v>5</v>
      </c>
      <c r="O113" t="s">
        <v>50</v>
      </c>
      <c r="P113" t="s">
        <v>36</v>
      </c>
      <c r="Q113">
        <v>217</v>
      </c>
      <c r="R113">
        <v>64</v>
      </c>
      <c r="S113">
        <v>23</v>
      </c>
      <c r="T113" t="s">
        <v>36</v>
      </c>
      <c r="U113" t="s">
        <v>36</v>
      </c>
      <c r="V113" t="s">
        <v>36</v>
      </c>
      <c r="W113" t="s">
        <v>126</v>
      </c>
      <c r="X113">
        <v>2020</v>
      </c>
      <c r="Y113" t="s">
        <v>69</v>
      </c>
      <c r="Z113" t="s">
        <v>40</v>
      </c>
      <c r="AA113" t="s">
        <v>63</v>
      </c>
    </row>
    <row r="114" spans="1:27" x14ac:dyDescent="0.3">
      <c r="A114" t="s">
        <v>232</v>
      </c>
      <c r="B114" t="s">
        <v>43</v>
      </c>
      <c r="C114">
        <v>32</v>
      </c>
      <c r="D114" t="s">
        <v>44</v>
      </c>
      <c r="E114" t="s">
        <v>115</v>
      </c>
      <c r="F114" t="s">
        <v>96</v>
      </c>
      <c r="G114">
        <v>135371</v>
      </c>
      <c r="H114" s="1">
        <v>44595</v>
      </c>
      <c r="I114" t="s">
        <v>57</v>
      </c>
      <c r="J114" t="s">
        <v>33</v>
      </c>
      <c r="K114" t="s">
        <v>58</v>
      </c>
      <c r="L114">
        <v>10</v>
      </c>
      <c r="M114">
        <v>2</v>
      </c>
      <c r="N114">
        <v>1</v>
      </c>
      <c r="O114" t="s">
        <v>35</v>
      </c>
      <c r="P114" t="s">
        <v>37</v>
      </c>
      <c r="Q114">
        <v>253</v>
      </c>
      <c r="R114">
        <v>17</v>
      </c>
      <c r="S114">
        <v>21</v>
      </c>
      <c r="T114" t="s">
        <v>37</v>
      </c>
      <c r="U114" t="s">
        <v>36</v>
      </c>
      <c r="V114" t="s">
        <v>36</v>
      </c>
      <c r="W114" t="s">
        <v>126</v>
      </c>
      <c r="X114">
        <v>2022</v>
      </c>
      <c r="Y114" t="s">
        <v>39</v>
      </c>
      <c r="Z114" t="s">
        <v>40</v>
      </c>
      <c r="AA114" t="s">
        <v>105</v>
      </c>
    </row>
    <row r="115" spans="1:27" x14ac:dyDescent="0.3">
      <c r="A115" t="s">
        <v>233</v>
      </c>
      <c r="B115" t="s">
        <v>28</v>
      </c>
      <c r="C115">
        <v>49</v>
      </c>
      <c r="D115" t="s">
        <v>44</v>
      </c>
      <c r="E115" t="s">
        <v>219</v>
      </c>
      <c r="F115" t="s">
        <v>96</v>
      </c>
      <c r="G115">
        <v>147535</v>
      </c>
      <c r="H115" s="1">
        <v>45676</v>
      </c>
      <c r="I115" t="s">
        <v>98</v>
      </c>
      <c r="J115" t="s">
        <v>91</v>
      </c>
      <c r="K115" t="s">
        <v>34</v>
      </c>
      <c r="L115">
        <v>11</v>
      </c>
      <c r="M115">
        <v>2</v>
      </c>
      <c r="N115">
        <v>1</v>
      </c>
      <c r="O115" t="s">
        <v>50</v>
      </c>
      <c r="P115" t="s">
        <v>37</v>
      </c>
      <c r="Q115">
        <v>214</v>
      </c>
      <c r="R115">
        <v>35</v>
      </c>
      <c r="S115">
        <v>11</v>
      </c>
      <c r="T115" t="s">
        <v>37</v>
      </c>
      <c r="U115" t="s">
        <v>36</v>
      </c>
      <c r="V115" t="s">
        <v>37</v>
      </c>
      <c r="W115" t="s">
        <v>38</v>
      </c>
      <c r="X115">
        <v>2025</v>
      </c>
      <c r="Y115" t="s">
        <v>94</v>
      </c>
      <c r="Z115" t="s">
        <v>70</v>
      </c>
      <c r="AA115" t="s">
        <v>105</v>
      </c>
    </row>
    <row r="116" spans="1:27" x14ac:dyDescent="0.3">
      <c r="A116" t="s">
        <v>234</v>
      </c>
      <c r="B116" t="s">
        <v>28</v>
      </c>
      <c r="C116">
        <v>30</v>
      </c>
      <c r="D116" t="s">
        <v>77</v>
      </c>
      <c r="E116" t="s">
        <v>78</v>
      </c>
      <c r="F116" t="s">
        <v>46</v>
      </c>
      <c r="G116">
        <v>68994</v>
      </c>
      <c r="H116" s="1">
        <v>45889</v>
      </c>
      <c r="I116" t="s">
        <v>47</v>
      </c>
      <c r="J116" t="s">
        <v>91</v>
      </c>
      <c r="K116" t="s">
        <v>34</v>
      </c>
      <c r="L116">
        <v>13</v>
      </c>
      <c r="M116">
        <v>2</v>
      </c>
      <c r="N116">
        <v>4</v>
      </c>
      <c r="O116" t="s">
        <v>59</v>
      </c>
      <c r="P116" t="s">
        <v>36</v>
      </c>
      <c r="Q116">
        <v>213</v>
      </c>
      <c r="R116">
        <v>57</v>
      </c>
      <c r="S116">
        <v>6</v>
      </c>
      <c r="T116" t="s">
        <v>36</v>
      </c>
      <c r="U116" t="s">
        <v>37</v>
      </c>
      <c r="V116" t="s">
        <v>36</v>
      </c>
      <c r="W116" t="s">
        <v>126</v>
      </c>
      <c r="X116">
        <v>2025</v>
      </c>
      <c r="Y116" t="s">
        <v>128</v>
      </c>
      <c r="Z116" t="s">
        <v>75</v>
      </c>
      <c r="AA116" t="s">
        <v>52</v>
      </c>
    </row>
    <row r="117" spans="1:27" x14ac:dyDescent="0.3">
      <c r="A117" t="s">
        <v>235</v>
      </c>
      <c r="B117" t="s">
        <v>28</v>
      </c>
      <c r="C117">
        <v>34</v>
      </c>
      <c r="D117" t="s">
        <v>89</v>
      </c>
      <c r="E117" t="s">
        <v>90</v>
      </c>
      <c r="F117" t="s">
        <v>31</v>
      </c>
      <c r="G117">
        <v>51854</v>
      </c>
      <c r="H117" s="1">
        <v>44057</v>
      </c>
      <c r="I117" t="s">
        <v>32</v>
      </c>
      <c r="J117" t="s">
        <v>118</v>
      </c>
      <c r="K117" t="s">
        <v>58</v>
      </c>
      <c r="L117">
        <v>7</v>
      </c>
      <c r="M117">
        <v>4</v>
      </c>
      <c r="N117">
        <v>1</v>
      </c>
      <c r="O117" t="s">
        <v>50</v>
      </c>
      <c r="P117" t="s">
        <v>36</v>
      </c>
      <c r="Q117">
        <v>202</v>
      </c>
      <c r="R117">
        <v>31</v>
      </c>
      <c r="S117">
        <v>12</v>
      </c>
      <c r="T117" t="s">
        <v>36</v>
      </c>
      <c r="U117" t="s">
        <v>36</v>
      </c>
      <c r="V117" t="s">
        <v>36</v>
      </c>
      <c r="W117" t="s">
        <v>60</v>
      </c>
      <c r="X117">
        <v>2020</v>
      </c>
      <c r="Y117" t="s">
        <v>128</v>
      </c>
      <c r="Z117" t="s">
        <v>40</v>
      </c>
      <c r="AA117" t="s">
        <v>41</v>
      </c>
    </row>
    <row r="118" spans="1:27" x14ac:dyDescent="0.3">
      <c r="A118" t="s">
        <v>236</v>
      </c>
      <c r="B118" t="s">
        <v>43</v>
      </c>
      <c r="C118">
        <v>31</v>
      </c>
      <c r="D118" t="s">
        <v>65</v>
      </c>
      <c r="E118" t="s">
        <v>120</v>
      </c>
      <c r="F118" t="s">
        <v>31</v>
      </c>
      <c r="G118">
        <v>43688</v>
      </c>
      <c r="H118" s="1">
        <v>45010</v>
      </c>
      <c r="I118" t="s">
        <v>98</v>
      </c>
      <c r="J118" t="s">
        <v>33</v>
      </c>
      <c r="K118" t="s">
        <v>49</v>
      </c>
      <c r="L118">
        <v>4</v>
      </c>
      <c r="M118">
        <v>5</v>
      </c>
      <c r="N118">
        <v>5</v>
      </c>
      <c r="O118" t="s">
        <v>68</v>
      </c>
      <c r="P118" t="s">
        <v>37</v>
      </c>
      <c r="Q118">
        <v>159</v>
      </c>
      <c r="R118">
        <v>47</v>
      </c>
      <c r="S118">
        <v>11</v>
      </c>
      <c r="T118" t="s">
        <v>37</v>
      </c>
      <c r="U118" t="s">
        <v>36</v>
      </c>
      <c r="V118" t="s">
        <v>36</v>
      </c>
      <c r="W118" t="s">
        <v>60</v>
      </c>
      <c r="X118">
        <v>2023</v>
      </c>
      <c r="Y118" t="s">
        <v>142</v>
      </c>
      <c r="Z118" t="s">
        <v>40</v>
      </c>
      <c r="AA118" t="s">
        <v>41</v>
      </c>
    </row>
    <row r="119" spans="1:27" x14ac:dyDescent="0.3">
      <c r="A119" t="s">
        <v>237</v>
      </c>
      <c r="B119" t="s">
        <v>28</v>
      </c>
      <c r="C119">
        <v>23</v>
      </c>
      <c r="D119" t="s">
        <v>54</v>
      </c>
      <c r="E119" t="s">
        <v>55</v>
      </c>
      <c r="F119" t="s">
        <v>31</v>
      </c>
      <c r="G119">
        <v>64794</v>
      </c>
      <c r="H119" s="1">
        <v>44303</v>
      </c>
      <c r="I119" t="s">
        <v>98</v>
      </c>
      <c r="J119" t="s">
        <v>91</v>
      </c>
      <c r="K119" t="s">
        <v>49</v>
      </c>
      <c r="L119">
        <v>6</v>
      </c>
      <c r="M119">
        <v>4</v>
      </c>
      <c r="N119">
        <v>2</v>
      </c>
      <c r="O119" t="s">
        <v>50</v>
      </c>
      <c r="P119" t="s">
        <v>36</v>
      </c>
      <c r="Q119">
        <v>191</v>
      </c>
      <c r="R119">
        <v>51</v>
      </c>
      <c r="S119">
        <v>18</v>
      </c>
      <c r="T119" t="s">
        <v>36</v>
      </c>
      <c r="U119" t="s">
        <v>36</v>
      </c>
      <c r="V119" t="s">
        <v>36</v>
      </c>
      <c r="W119" t="s">
        <v>126</v>
      </c>
      <c r="X119">
        <v>2021</v>
      </c>
      <c r="Y119" t="s">
        <v>69</v>
      </c>
      <c r="Z119" t="s">
        <v>104</v>
      </c>
      <c r="AA119" t="s">
        <v>52</v>
      </c>
    </row>
    <row r="120" spans="1:27" x14ac:dyDescent="0.3">
      <c r="A120" t="s">
        <v>238</v>
      </c>
      <c r="B120" t="s">
        <v>28</v>
      </c>
      <c r="C120">
        <v>39</v>
      </c>
      <c r="D120" t="s">
        <v>89</v>
      </c>
      <c r="E120" t="s">
        <v>144</v>
      </c>
      <c r="F120" t="s">
        <v>31</v>
      </c>
      <c r="G120">
        <v>54147</v>
      </c>
      <c r="H120" s="1">
        <v>45161</v>
      </c>
      <c r="I120" t="s">
        <v>98</v>
      </c>
      <c r="J120" t="s">
        <v>118</v>
      </c>
      <c r="K120" t="s">
        <v>49</v>
      </c>
      <c r="L120">
        <v>4</v>
      </c>
      <c r="M120">
        <v>1</v>
      </c>
      <c r="N120">
        <v>5</v>
      </c>
      <c r="O120" t="s">
        <v>68</v>
      </c>
      <c r="P120" t="s">
        <v>37</v>
      </c>
      <c r="Q120">
        <v>244</v>
      </c>
      <c r="R120">
        <v>30</v>
      </c>
      <c r="S120">
        <v>12</v>
      </c>
      <c r="T120" t="s">
        <v>37</v>
      </c>
      <c r="U120" t="s">
        <v>36</v>
      </c>
      <c r="V120" t="s">
        <v>37</v>
      </c>
      <c r="W120" t="s">
        <v>38</v>
      </c>
      <c r="X120">
        <v>2023</v>
      </c>
      <c r="Y120" t="s">
        <v>128</v>
      </c>
      <c r="Z120" t="s">
        <v>62</v>
      </c>
      <c r="AA120" t="s">
        <v>41</v>
      </c>
    </row>
    <row r="121" spans="1:27" x14ac:dyDescent="0.3">
      <c r="A121" t="s">
        <v>239</v>
      </c>
      <c r="B121" t="s">
        <v>43</v>
      </c>
      <c r="C121">
        <v>37</v>
      </c>
      <c r="D121" t="s">
        <v>44</v>
      </c>
      <c r="E121" t="s">
        <v>45</v>
      </c>
      <c r="F121" t="s">
        <v>46</v>
      </c>
      <c r="G121">
        <v>81864</v>
      </c>
      <c r="H121" s="1">
        <v>46094</v>
      </c>
      <c r="I121" t="s">
        <v>98</v>
      </c>
      <c r="J121" t="s">
        <v>101</v>
      </c>
      <c r="K121" t="s">
        <v>58</v>
      </c>
      <c r="L121">
        <v>12</v>
      </c>
      <c r="M121">
        <v>4</v>
      </c>
      <c r="N121">
        <v>4</v>
      </c>
      <c r="O121" t="s">
        <v>35</v>
      </c>
      <c r="P121" t="s">
        <v>37</v>
      </c>
      <c r="Q121">
        <v>243</v>
      </c>
      <c r="R121">
        <v>72</v>
      </c>
      <c r="S121">
        <v>3</v>
      </c>
      <c r="T121" t="s">
        <v>37</v>
      </c>
      <c r="U121" t="s">
        <v>36</v>
      </c>
      <c r="V121" t="s">
        <v>37</v>
      </c>
      <c r="W121" t="s">
        <v>38</v>
      </c>
      <c r="X121">
        <v>2026</v>
      </c>
      <c r="Y121" t="s">
        <v>142</v>
      </c>
      <c r="Z121" t="s">
        <v>62</v>
      </c>
      <c r="AA121" t="s">
        <v>52</v>
      </c>
    </row>
    <row r="122" spans="1:27" x14ac:dyDescent="0.3">
      <c r="A122" t="s">
        <v>240</v>
      </c>
      <c r="B122" t="s">
        <v>28</v>
      </c>
      <c r="C122">
        <v>37</v>
      </c>
      <c r="D122" t="s">
        <v>29</v>
      </c>
      <c r="E122" t="s">
        <v>122</v>
      </c>
      <c r="F122" t="s">
        <v>31</v>
      </c>
      <c r="G122">
        <v>69608</v>
      </c>
      <c r="H122" s="1">
        <v>44413</v>
      </c>
      <c r="I122" t="s">
        <v>98</v>
      </c>
      <c r="J122" t="s">
        <v>101</v>
      </c>
      <c r="K122" t="s">
        <v>34</v>
      </c>
      <c r="L122">
        <v>7</v>
      </c>
      <c r="M122">
        <v>1</v>
      </c>
      <c r="N122">
        <v>2</v>
      </c>
      <c r="O122" t="s">
        <v>59</v>
      </c>
      <c r="P122" t="s">
        <v>37</v>
      </c>
      <c r="Q122">
        <v>177</v>
      </c>
      <c r="R122">
        <v>7</v>
      </c>
      <c r="S122">
        <v>2</v>
      </c>
      <c r="T122" t="s">
        <v>36</v>
      </c>
      <c r="U122" t="s">
        <v>36</v>
      </c>
      <c r="V122" t="s">
        <v>36</v>
      </c>
      <c r="W122" t="s">
        <v>126</v>
      </c>
      <c r="X122">
        <v>2021</v>
      </c>
      <c r="Y122" t="s">
        <v>128</v>
      </c>
      <c r="Z122" t="s">
        <v>62</v>
      </c>
      <c r="AA122" t="s">
        <v>52</v>
      </c>
    </row>
    <row r="123" spans="1:27" x14ac:dyDescent="0.3">
      <c r="A123" t="s">
        <v>241</v>
      </c>
      <c r="B123" t="s">
        <v>28</v>
      </c>
      <c r="C123">
        <v>25</v>
      </c>
      <c r="D123" t="s">
        <v>29</v>
      </c>
      <c r="E123" t="s">
        <v>30</v>
      </c>
      <c r="F123" t="s">
        <v>46</v>
      </c>
      <c r="G123">
        <v>66123</v>
      </c>
      <c r="H123" s="1">
        <v>46226</v>
      </c>
      <c r="I123" t="s">
        <v>98</v>
      </c>
      <c r="J123" t="s">
        <v>67</v>
      </c>
      <c r="K123" t="s">
        <v>49</v>
      </c>
      <c r="L123">
        <v>13</v>
      </c>
      <c r="M123">
        <v>4</v>
      </c>
      <c r="N123">
        <v>2</v>
      </c>
      <c r="O123" t="s">
        <v>50</v>
      </c>
      <c r="P123" t="s">
        <v>37</v>
      </c>
      <c r="Q123">
        <v>162</v>
      </c>
      <c r="R123">
        <v>55</v>
      </c>
      <c r="S123">
        <v>4</v>
      </c>
      <c r="T123" t="s">
        <v>36</v>
      </c>
      <c r="U123" t="s">
        <v>36</v>
      </c>
      <c r="V123" t="s">
        <v>36</v>
      </c>
      <c r="W123" t="s">
        <v>126</v>
      </c>
      <c r="X123">
        <v>2026</v>
      </c>
      <c r="Y123" t="s">
        <v>79</v>
      </c>
      <c r="Z123" t="s">
        <v>104</v>
      </c>
      <c r="AA123" t="s">
        <v>52</v>
      </c>
    </row>
    <row r="124" spans="1:27" x14ac:dyDescent="0.3">
      <c r="A124" t="s">
        <v>242</v>
      </c>
      <c r="B124" t="s">
        <v>43</v>
      </c>
      <c r="C124">
        <v>41</v>
      </c>
      <c r="D124" t="s">
        <v>44</v>
      </c>
      <c r="E124" t="s">
        <v>115</v>
      </c>
      <c r="F124" t="s">
        <v>46</v>
      </c>
      <c r="G124">
        <v>109829</v>
      </c>
      <c r="H124" s="1">
        <v>46143</v>
      </c>
      <c r="I124" t="s">
        <v>57</v>
      </c>
      <c r="J124" t="s">
        <v>99</v>
      </c>
      <c r="K124" t="s">
        <v>34</v>
      </c>
      <c r="L124">
        <v>6</v>
      </c>
      <c r="M124">
        <v>1</v>
      </c>
      <c r="N124">
        <v>1</v>
      </c>
      <c r="O124" t="s">
        <v>68</v>
      </c>
      <c r="P124" t="s">
        <v>36</v>
      </c>
      <c r="Q124">
        <v>198</v>
      </c>
      <c r="R124">
        <v>15</v>
      </c>
      <c r="S124">
        <v>17</v>
      </c>
      <c r="T124" t="s">
        <v>36</v>
      </c>
      <c r="U124" t="s">
        <v>36</v>
      </c>
      <c r="V124" t="s">
        <v>36</v>
      </c>
      <c r="W124" t="s">
        <v>60</v>
      </c>
      <c r="X124">
        <v>2026</v>
      </c>
      <c r="Y124" t="s">
        <v>74</v>
      </c>
      <c r="Z124" t="s">
        <v>70</v>
      </c>
      <c r="AA124" t="s">
        <v>87</v>
      </c>
    </row>
    <row r="125" spans="1:27" x14ac:dyDescent="0.3">
      <c r="A125" t="s">
        <v>243</v>
      </c>
      <c r="B125" t="s">
        <v>28</v>
      </c>
      <c r="C125">
        <v>22</v>
      </c>
      <c r="D125" t="s">
        <v>29</v>
      </c>
      <c r="E125" t="s">
        <v>93</v>
      </c>
      <c r="F125" t="s">
        <v>31</v>
      </c>
      <c r="G125">
        <v>64684</v>
      </c>
      <c r="H125" s="1">
        <v>45413</v>
      </c>
      <c r="I125" t="s">
        <v>98</v>
      </c>
      <c r="J125" t="s">
        <v>99</v>
      </c>
      <c r="K125" t="s">
        <v>58</v>
      </c>
      <c r="L125">
        <v>6</v>
      </c>
      <c r="M125">
        <v>3</v>
      </c>
      <c r="N125">
        <v>1</v>
      </c>
      <c r="O125" t="s">
        <v>50</v>
      </c>
      <c r="P125" t="s">
        <v>37</v>
      </c>
      <c r="Q125">
        <v>237</v>
      </c>
      <c r="R125">
        <v>7</v>
      </c>
      <c r="S125">
        <v>8</v>
      </c>
      <c r="T125" t="s">
        <v>36</v>
      </c>
      <c r="U125" t="s">
        <v>36</v>
      </c>
      <c r="V125" t="s">
        <v>36</v>
      </c>
      <c r="W125" t="s">
        <v>60</v>
      </c>
      <c r="X125">
        <v>2024</v>
      </c>
      <c r="Y125" t="s">
        <v>74</v>
      </c>
      <c r="Z125" t="s">
        <v>104</v>
      </c>
      <c r="AA125" t="s">
        <v>52</v>
      </c>
    </row>
    <row r="126" spans="1:27" x14ac:dyDescent="0.3">
      <c r="A126" t="s">
        <v>244</v>
      </c>
      <c r="B126" t="s">
        <v>43</v>
      </c>
      <c r="C126">
        <v>36</v>
      </c>
      <c r="D126" t="s">
        <v>54</v>
      </c>
      <c r="E126" t="s">
        <v>207</v>
      </c>
      <c r="F126" t="s">
        <v>31</v>
      </c>
      <c r="G126">
        <v>60479</v>
      </c>
      <c r="H126" s="1">
        <v>45787</v>
      </c>
      <c r="I126" t="s">
        <v>57</v>
      </c>
      <c r="J126" t="s">
        <v>91</v>
      </c>
      <c r="K126" t="s">
        <v>58</v>
      </c>
      <c r="L126">
        <v>3</v>
      </c>
      <c r="M126">
        <v>4</v>
      </c>
      <c r="N126">
        <v>5</v>
      </c>
      <c r="O126" t="s">
        <v>35</v>
      </c>
      <c r="P126" t="s">
        <v>36</v>
      </c>
      <c r="Q126">
        <v>199</v>
      </c>
      <c r="R126">
        <v>60</v>
      </c>
      <c r="S126">
        <v>9</v>
      </c>
      <c r="T126" t="s">
        <v>37</v>
      </c>
      <c r="U126" t="s">
        <v>36</v>
      </c>
      <c r="V126" t="s">
        <v>36</v>
      </c>
      <c r="W126" t="s">
        <v>60</v>
      </c>
      <c r="X126">
        <v>2025</v>
      </c>
      <c r="Y126" t="s">
        <v>74</v>
      </c>
      <c r="Z126" t="s">
        <v>62</v>
      </c>
      <c r="AA126" t="s">
        <v>52</v>
      </c>
    </row>
    <row r="127" spans="1:27" x14ac:dyDescent="0.3">
      <c r="A127" t="s">
        <v>245</v>
      </c>
      <c r="B127" t="s">
        <v>43</v>
      </c>
      <c r="C127">
        <v>47</v>
      </c>
      <c r="D127" t="s">
        <v>65</v>
      </c>
      <c r="E127" t="s">
        <v>120</v>
      </c>
      <c r="F127" t="s">
        <v>46</v>
      </c>
      <c r="G127">
        <v>94527</v>
      </c>
      <c r="H127" s="1">
        <v>44400</v>
      </c>
      <c r="I127" t="s">
        <v>47</v>
      </c>
      <c r="J127" t="s">
        <v>48</v>
      </c>
      <c r="K127" t="s">
        <v>34</v>
      </c>
      <c r="L127">
        <v>12</v>
      </c>
      <c r="M127">
        <v>3</v>
      </c>
      <c r="N127">
        <v>5</v>
      </c>
      <c r="O127" t="s">
        <v>50</v>
      </c>
      <c r="P127" t="s">
        <v>36</v>
      </c>
      <c r="Q127">
        <v>205</v>
      </c>
      <c r="R127">
        <v>36</v>
      </c>
      <c r="S127">
        <v>24</v>
      </c>
      <c r="T127" t="s">
        <v>37</v>
      </c>
      <c r="U127" t="s">
        <v>36</v>
      </c>
      <c r="V127" t="s">
        <v>36</v>
      </c>
      <c r="W127" t="s">
        <v>60</v>
      </c>
      <c r="X127">
        <v>2021</v>
      </c>
      <c r="Y127" t="s">
        <v>79</v>
      </c>
      <c r="Z127" t="s">
        <v>70</v>
      </c>
      <c r="AA127" t="s">
        <v>87</v>
      </c>
    </row>
    <row r="128" spans="1:27" x14ac:dyDescent="0.3">
      <c r="A128" t="s">
        <v>246</v>
      </c>
      <c r="B128" t="s">
        <v>43</v>
      </c>
      <c r="C128">
        <v>25</v>
      </c>
      <c r="D128" t="s">
        <v>85</v>
      </c>
      <c r="E128" t="s">
        <v>159</v>
      </c>
      <c r="F128" t="s">
        <v>31</v>
      </c>
      <c r="G128">
        <v>66237</v>
      </c>
      <c r="H128" s="1">
        <v>44763</v>
      </c>
      <c r="I128" t="s">
        <v>107</v>
      </c>
      <c r="J128" t="s">
        <v>48</v>
      </c>
      <c r="K128" t="s">
        <v>58</v>
      </c>
      <c r="L128">
        <v>5</v>
      </c>
      <c r="M128">
        <v>3</v>
      </c>
      <c r="N128">
        <v>1</v>
      </c>
      <c r="O128" t="s">
        <v>35</v>
      </c>
      <c r="P128" t="s">
        <v>37</v>
      </c>
      <c r="Q128">
        <v>150</v>
      </c>
      <c r="R128">
        <v>28</v>
      </c>
      <c r="S128">
        <v>15</v>
      </c>
      <c r="T128" t="s">
        <v>36</v>
      </c>
      <c r="U128" t="s">
        <v>36</v>
      </c>
      <c r="V128" t="s">
        <v>36</v>
      </c>
      <c r="W128" t="s">
        <v>126</v>
      </c>
      <c r="X128">
        <v>2022</v>
      </c>
      <c r="Y128" t="s">
        <v>79</v>
      </c>
      <c r="Z128" t="s">
        <v>104</v>
      </c>
      <c r="AA128" t="s">
        <v>52</v>
      </c>
    </row>
    <row r="129" spans="1:27" x14ac:dyDescent="0.3">
      <c r="A129" t="s">
        <v>247</v>
      </c>
      <c r="B129" t="s">
        <v>28</v>
      </c>
      <c r="C129">
        <v>28</v>
      </c>
      <c r="D129" t="s">
        <v>29</v>
      </c>
      <c r="E129" t="s">
        <v>103</v>
      </c>
      <c r="F129" t="s">
        <v>46</v>
      </c>
      <c r="G129">
        <v>101321</v>
      </c>
      <c r="H129" s="1">
        <v>45911</v>
      </c>
      <c r="I129" t="s">
        <v>57</v>
      </c>
      <c r="J129" t="s">
        <v>33</v>
      </c>
      <c r="K129" t="s">
        <v>34</v>
      </c>
      <c r="L129">
        <v>6</v>
      </c>
      <c r="M129">
        <v>5</v>
      </c>
      <c r="N129">
        <v>3</v>
      </c>
      <c r="O129" t="s">
        <v>68</v>
      </c>
      <c r="P129" t="s">
        <v>36</v>
      </c>
      <c r="Q129">
        <v>151</v>
      </c>
      <c r="R129">
        <v>53</v>
      </c>
      <c r="S129">
        <v>7</v>
      </c>
      <c r="T129" t="s">
        <v>37</v>
      </c>
      <c r="U129" t="s">
        <v>36</v>
      </c>
      <c r="V129" t="s">
        <v>36</v>
      </c>
      <c r="W129" t="s">
        <v>60</v>
      </c>
      <c r="X129">
        <v>2025</v>
      </c>
      <c r="Y129" t="s">
        <v>51</v>
      </c>
      <c r="Z129" t="s">
        <v>75</v>
      </c>
      <c r="AA129" t="s">
        <v>87</v>
      </c>
    </row>
    <row r="130" spans="1:27" x14ac:dyDescent="0.3">
      <c r="A130" t="s">
        <v>248</v>
      </c>
      <c r="B130" t="s">
        <v>43</v>
      </c>
      <c r="C130">
        <v>32</v>
      </c>
      <c r="D130" t="s">
        <v>81</v>
      </c>
      <c r="E130" t="s">
        <v>165</v>
      </c>
      <c r="F130" t="s">
        <v>31</v>
      </c>
      <c r="G130">
        <v>44073</v>
      </c>
      <c r="H130" s="1">
        <v>45246</v>
      </c>
      <c r="I130" t="s">
        <v>32</v>
      </c>
      <c r="J130" t="s">
        <v>101</v>
      </c>
      <c r="K130" t="s">
        <v>34</v>
      </c>
      <c r="L130">
        <v>3</v>
      </c>
      <c r="M130">
        <v>3</v>
      </c>
      <c r="N130">
        <v>4</v>
      </c>
      <c r="O130" t="s">
        <v>68</v>
      </c>
      <c r="P130" t="s">
        <v>36</v>
      </c>
      <c r="Q130">
        <v>211</v>
      </c>
      <c r="R130">
        <v>63</v>
      </c>
      <c r="S130">
        <v>5</v>
      </c>
      <c r="T130" t="s">
        <v>37</v>
      </c>
      <c r="U130" t="s">
        <v>37</v>
      </c>
      <c r="V130" t="s">
        <v>36</v>
      </c>
      <c r="W130" t="s">
        <v>60</v>
      </c>
      <c r="X130">
        <v>2023</v>
      </c>
      <c r="Y130" t="s">
        <v>123</v>
      </c>
      <c r="Z130" t="s">
        <v>40</v>
      </c>
      <c r="AA130" t="s">
        <v>41</v>
      </c>
    </row>
    <row r="131" spans="1:27" x14ac:dyDescent="0.3">
      <c r="A131" t="s">
        <v>249</v>
      </c>
      <c r="B131" t="s">
        <v>28</v>
      </c>
      <c r="C131">
        <v>28</v>
      </c>
      <c r="D131" t="s">
        <v>77</v>
      </c>
      <c r="E131" t="s">
        <v>78</v>
      </c>
      <c r="F131" t="s">
        <v>96</v>
      </c>
      <c r="G131">
        <v>133193</v>
      </c>
      <c r="H131" s="1">
        <v>44837</v>
      </c>
      <c r="I131" t="s">
        <v>32</v>
      </c>
      <c r="J131" t="s">
        <v>101</v>
      </c>
      <c r="K131" t="s">
        <v>49</v>
      </c>
      <c r="L131">
        <v>15</v>
      </c>
      <c r="M131">
        <v>4</v>
      </c>
      <c r="N131">
        <v>5</v>
      </c>
      <c r="O131" t="s">
        <v>68</v>
      </c>
      <c r="P131" t="s">
        <v>37</v>
      </c>
      <c r="Q131">
        <v>188</v>
      </c>
      <c r="R131">
        <v>55</v>
      </c>
      <c r="S131">
        <v>12</v>
      </c>
      <c r="T131" t="s">
        <v>36</v>
      </c>
      <c r="U131" t="s">
        <v>36</v>
      </c>
      <c r="V131" t="s">
        <v>36</v>
      </c>
      <c r="W131" t="s">
        <v>126</v>
      </c>
      <c r="X131">
        <v>2022</v>
      </c>
      <c r="Y131" t="s">
        <v>83</v>
      </c>
      <c r="Z131" t="s">
        <v>75</v>
      </c>
      <c r="AA131" t="s">
        <v>105</v>
      </c>
    </row>
    <row r="132" spans="1:27" x14ac:dyDescent="0.3">
      <c r="A132" t="s">
        <v>250</v>
      </c>
      <c r="B132" t="s">
        <v>28</v>
      </c>
      <c r="C132">
        <v>21</v>
      </c>
      <c r="D132" t="s">
        <v>65</v>
      </c>
      <c r="E132" t="s">
        <v>72</v>
      </c>
      <c r="F132" t="s">
        <v>46</v>
      </c>
      <c r="G132">
        <v>90751</v>
      </c>
      <c r="H132" s="1">
        <v>43932</v>
      </c>
      <c r="I132" t="s">
        <v>98</v>
      </c>
      <c r="J132" t="s">
        <v>99</v>
      </c>
      <c r="K132" t="s">
        <v>34</v>
      </c>
      <c r="L132">
        <v>10</v>
      </c>
      <c r="M132">
        <v>5</v>
      </c>
      <c r="N132">
        <v>2</v>
      </c>
      <c r="O132" t="s">
        <v>59</v>
      </c>
      <c r="P132" t="s">
        <v>36</v>
      </c>
      <c r="Q132">
        <v>219</v>
      </c>
      <c r="R132">
        <v>31</v>
      </c>
      <c r="S132">
        <v>16</v>
      </c>
      <c r="T132" t="s">
        <v>36</v>
      </c>
      <c r="U132" t="s">
        <v>36</v>
      </c>
      <c r="V132" t="s">
        <v>36</v>
      </c>
      <c r="W132" t="s">
        <v>60</v>
      </c>
      <c r="X132">
        <v>2020</v>
      </c>
      <c r="Y132" t="s">
        <v>69</v>
      </c>
      <c r="Z132" t="s">
        <v>104</v>
      </c>
      <c r="AA132" t="s">
        <v>87</v>
      </c>
    </row>
    <row r="133" spans="1:27" x14ac:dyDescent="0.3">
      <c r="A133" t="s">
        <v>251</v>
      </c>
      <c r="B133" t="s">
        <v>43</v>
      </c>
      <c r="C133">
        <v>32</v>
      </c>
      <c r="D133" t="s">
        <v>89</v>
      </c>
      <c r="E133" t="s">
        <v>90</v>
      </c>
      <c r="F133" t="s">
        <v>46</v>
      </c>
      <c r="G133">
        <v>80861</v>
      </c>
      <c r="H133" s="1">
        <v>46163</v>
      </c>
      <c r="I133" t="s">
        <v>47</v>
      </c>
      <c r="J133" t="s">
        <v>118</v>
      </c>
      <c r="K133" t="s">
        <v>34</v>
      </c>
      <c r="L133">
        <v>9</v>
      </c>
      <c r="M133">
        <v>2</v>
      </c>
      <c r="N133">
        <v>4</v>
      </c>
      <c r="O133" t="s">
        <v>59</v>
      </c>
      <c r="P133" t="s">
        <v>36</v>
      </c>
      <c r="Q133">
        <v>159</v>
      </c>
      <c r="R133">
        <v>74</v>
      </c>
      <c r="S133">
        <v>3</v>
      </c>
      <c r="T133" t="s">
        <v>36</v>
      </c>
      <c r="U133" t="s">
        <v>36</v>
      </c>
      <c r="V133" t="s">
        <v>36</v>
      </c>
      <c r="W133" t="s">
        <v>60</v>
      </c>
      <c r="X133">
        <v>2026</v>
      </c>
      <c r="Y133" t="s">
        <v>74</v>
      </c>
      <c r="Z133" t="s">
        <v>40</v>
      </c>
      <c r="AA133" t="s">
        <v>52</v>
      </c>
    </row>
    <row r="134" spans="1:27" x14ac:dyDescent="0.3">
      <c r="A134" t="s">
        <v>252</v>
      </c>
      <c r="B134" t="s">
        <v>28</v>
      </c>
      <c r="C134">
        <v>24</v>
      </c>
      <c r="D134" t="s">
        <v>44</v>
      </c>
      <c r="E134" t="s">
        <v>109</v>
      </c>
      <c r="F134" t="s">
        <v>31</v>
      </c>
      <c r="G134">
        <v>63200</v>
      </c>
      <c r="H134" s="1">
        <v>43647</v>
      </c>
      <c r="I134" t="s">
        <v>57</v>
      </c>
      <c r="J134" t="s">
        <v>67</v>
      </c>
      <c r="K134" t="s">
        <v>58</v>
      </c>
      <c r="L134">
        <v>6</v>
      </c>
      <c r="M134">
        <v>5</v>
      </c>
      <c r="N134">
        <v>4</v>
      </c>
      <c r="O134" t="s">
        <v>68</v>
      </c>
      <c r="P134" t="s">
        <v>36</v>
      </c>
      <c r="Q134">
        <v>251</v>
      </c>
      <c r="R134">
        <v>62</v>
      </c>
      <c r="S134">
        <v>13</v>
      </c>
      <c r="T134" t="s">
        <v>36</v>
      </c>
      <c r="U134" t="s">
        <v>36</v>
      </c>
      <c r="V134" t="s">
        <v>37</v>
      </c>
      <c r="W134" t="s">
        <v>38</v>
      </c>
      <c r="X134">
        <v>2019</v>
      </c>
      <c r="Y134" t="s">
        <v>79</v>
      </c>
      <c r="Z134" t="s">
        <v>104</v>
      </c>
      <c r="AA134" t="s">
        <v>52</v>
      </c>
    </row>
    <row r="135" spans="1:27" x14ac:dyDescent="0.3">
      <c r="A135" t="s">
        <v>253</v>
      </c>
      <c r="B135" t="s">
        <v>43</v>
      </c>
      <c r="C135">
        <v>35</v>
      </c>
      <c r="D135" t="s">
        <v>85</v>
      </c>
      <c r="E135" t="s">
        <v>151</v>
      </c>
      <c r="F135" t="s">
        <v>56</v>
      </c>
      <c r="G135">
        <v>43819</v>
      </c>
      <c r="H135" s="1">
        <v>44676</v>
      </c>
      <c r="I135" t="s">
        <v>107</v>
      </c>
      <c r="J135" t="s">
        <v>101</v>
      </c>
      <c r="K135" t="s">
        <v>58</v>
      </c>
      <c r="L135">
        <v>0</v>
      </c>
      <c r="M135">
        <v>4</v>
      </c>
      <c r="N135">
        <v>1</v>
      </c>
      <c r="O135" t="s">
        <v>59</v>
      </c>
      <c r="P135" t="s">
        <v>37</v>
      </c>
      <c r="Q135">
        <v>256</v>
      </c>
      <c r="R135">
        <v>49</v>
      </c>
      <c r="S135">
        <v>17</v>
      </c>
      <c r="T135" t="s">
        <v>37</v>
      </c>
      <c r="U135" t="s">
        <v>36</v>
      </c>
      <c r="V135" t="s">
        <v>36</v>
      </c>
      <c r="W135" t="s">
        <v>126</v>
      </c>
      <c r="X135">
        <v>2022</v>
      </c>
      <c r="Y135" t="s">
        <v>69</v>
      </c>
      <c r="Z135" t="s">
        <v>40</v>
      </c>
      <c r="AA135" t="s">
        <v>41</v>
      </c>
    </row>
    <row r="136" spans="1:27" x14ac:dyDescent="0.3">
      <c r="A136" t="s">
        <v>254</v>
      </c>
      <c r="B136" t="s">
        <v>43</v>
      </c>
      <c r="C136">
        <v>25</v>
      </c>
      <c r="D136" t="s">
        <v>65</v>
      </c>
      <c r="E136" t="s">
        <v>120</v>
      </c>
      <c r="F136" t="s">
        <v>46</v>
      </c>
      <c r="G136">
        <v>67928</v>
      </c>
      <c r="H136" s="1">
        <v>43558</v>
      </c>
      <c r="I136" t="s">
        <v>32</v>
      </c>
      <c r="J136" t="s">
        <v>73</v>
      </c>
      <c r="K136" t="s">
        <v>34</v>
      </c>
      <c r="L136">
        <v>6</v>
      </c>
      <c r="M136">
        <v>3</v>
      </c>
      <c r="N136">
        <v>1</v>
      </c>
      <c r="O136" t="s">
        <v>68</v>
      </c>
      <c r="P136" t="s">
        <v>36</v>
      </c>
      <c r="Q136">
        <v>252</v>
      </c>
      <c r="R136">
        <v>47</v>
      </c>
      <c r="S136">
        <v>19</v>
      </c>
      <c r="T136" t="s">
        <v>36</v>
      </c>
      <c r="U136" t="s">
        <v>36</v>
      </c>
      <c r="V136" t="s">
        <v>36</v>
      </c>
      <c r="W136" t="s">
        <v>126</v>
      </c>
      <c r="X136">
        <v>2019</v>
      </c>
      <c r="Y136" t="s">
        <v>69</v>
      </c>
      <c r="Z136" t="s">
        <v>104</v>
      </c>
      <c r="AA136" t="s">
        <v>52</v>
      </c>
    </row>
    <row r="137" spans="1:27" x14ac:dyDescent="0.3">
      <c r="A137" t="s">
        <v>255</v>
      </c>
      <c r="B137" t="s">
        <v>28</v>
      </c>
      <c r="C137">
        <v>42</v>
      </c>
      <c r="D137" t="s">
        <v>77</v>
      </c>
      <c r="E137" t="s">
        <v>138</v>
      </c>
      <c r="F137" t="s">
        <v>31</v>
      </c>
      <c r="G137">
        <v>62987</v>
      </c>
      <c r="H137" s="1">
        <v>45236</v>
      </c>
      <c r="I137" t="s">
        <v>47</v>
      </c>
      <c r="J137" t="s">
        <v>118</v>
      </c>
      <c r="K137" t="s">
        <v>58</v>
      </c>
      <c r="L137">
        <v>7</v>
      </c>
      <c r="M137">
        <v>4</v>
      </c>
      <c r="N137">
        <v>1</v>
      </c>
      <c r="O137" t="s">
        <v>68</v>
      </c>
      <c r="P137" t="s">
        <v>36</v>
      </c>
      <c r="Q137">
        <v>228</v>
      </c>
      <c r="R137">
        <v>31</v>
      </c>
      <c r="S137">
        <v>10</v>
      </c>
      <c r="T137" t="s">
        <v>36</v>
      </c>
      <c r="U137" t="s">
        <v>36</v>
      </c>
      <c r="V137" t="s">
        <v>36</v>
      </c>
      <c r="W137" t="s">
        <v>60</v>
      </c>
      <c r="X137">
        <v>2023</v>
      </c>
      <c r="Y137" t="s">
        <v>123</v>
      </c>
      <c r="Z137" t="s">
        <v>70</v>
      </c>
      <c r="AA137" t="s">
        <v>52</v>
      </c>
    </row>
    <row r="138" spans="1:27" x14ac:dyDescent="0.3">
      <c r="A138" t="s">
        <v>256</v>
      </c>
      <c r="B138" t="s">
        <v>28</v>
      </c>
      <c r="C138">
        <v>26</v>
      </c>
      <c r="D138" t="s">
        <v>85</v>
      </c>
      <c r="E138" t="s">
        <v>151</v>
      </c>
      <c r="F138" t="s">
        <v>46</v>
      </c>
      <c r="G138">
        <v>77915</v>
      </c>
      <c r="H138" s="1">
        <v>43932</v>
      </c>
      <c r="I138" t="s">
        <v>98</v>
      </c>
      <c r="J138" t="s">
        <v>118</v>
      </c>
      <c r="K138" t="s">
        <v>34</v>
      </c>
      <c r="L138">
        <v>12</v>
      </c>
      <c r="M138">
        <v>3</v>
      </c>
      <c r="N138">
        <v>4</v>
      </c>
      <c r="O138" t="s">
        <v>35</v>
      </c>
      <c r="P138" t="s">
        <v>36</v>
      </c>
      <c r="Q138">
        <v>231</v>
      </c>
      <c r="R138">
        <v>49</v>
      </c>
      <c r="S138">
        <v>13</v>
      </c>
      <c r="T138" t="s">
        <v>36</v>
      </c>
      <c r="U138" t="s">
        <v>36</v>
      </c>
      <c r="V138" t="s">
        <v>36</v>
      </c>
      <c r="W138" t="s">
        <v>60</v>
      </c>
      <c r="X138">
        <v>2020</v>
      </c>
      <c r="Y138" t="s">
        <v>69</v>
      </c>
      <c r="Z138" t="s">
        <v>75</v>
      </c>
      <c r="AA138" t="s">
        <v>52</v>
      </c>
    </row>
    <row r="139" spans="1:27" x14ac:dyDescent="0.3">
      <c r="A139" t="s">
        <v>257</v>
      </c>
      <c r="B139" t="s">
        <v>43</v>
      </c>
      <c r="C139">
        <v>29</v>
      </c>
      <c r="D139" t="s">
        <v>54</v>
      </c>
      <c r="E139" t="s">
        <v>111</v>
      </c>
      <c r="F139" t="s">
        <v>46</v>
      </c>
      <c r="G139">
        <v>72724</v>
      </c>
      <c r="H139" s="1">
        <v>44716</v>
      </c>
      <c r="I139" t="s">
        <v>47</v>
      </c>
      <c r="J139" t="s">
        <v>73</v>
      </c>
      <c r="K139" t="s">
        <v>34</v>
      </c>
      <c r="L139">
        <v>8</v>
      </c>
      <c r="M139">
        <v>1</v>
      </c>
      <c r="N139">
        <v>2</v>
      </c>
      <c r="O139" t="s">
        <v>59</v>
      </c>
      <c r="P139" t="s">
        <v>36</v>
      </c>
      <c r="Q139">
        <v>238</v>
      </c>
      <c r="R139">
        <v>59</v>
      </c>
      <c r="S139">
        <v>7</v>
      </c>
      <c r="T139" t="s">
        <v>36</v>
      </c>
      <c r="U139" t="s">
        <v>36</v>
      </c>
      <c r="V139" t="s">
        <v>36</v>
      </c>
      <c r="W139" t="s">
        <v>60</v>
      </c>
      <c r="X139">
        <v>2022</v>
      </c>
      <c r="Y139" t="s">
        <v>61</v>
      </c>
      <c r="Z139" t="s">
        <v>75</v>
      </c>
      <c r="AA139" t="s">
        <v>52</v>
      </c>
    </row>
    <row r="140" spans="1:27" x14ac:dyDescent="0.3">
      <c r="A140" t="s">
        <v>258</v>
      </c>
      <c r="B140" t="s">
        <v>28</v>
      </c>
      <c r="C140">
        <v>37</v>
      </c>
      <c r="D140" t="s">
        <v>89</v>
      </c>
      <c r="E140" t="s">
        <v>144</v>
      </c>
      <c r="F140" t="s">
        <v>31</v>
      </c>
      <c r="G140">
        <v>48130</v>
      </c>
      <c r="H140" s="1">
        <v>45313</v>
      </c>
      <c r="I140" t="s">
        <v>47</v>
      </c>
      <c r="J140" t="s">
        <v>101</v>
      </c>
      <c r="K140" t="s">
        <v>49</v>
      </c>
      <c r="L140">
        <v>4</v>
      </c>
      <c r="M140">
        <v>5</v>
      </c>
      <c r="N140">
        <v>1</v>
      </c>
      <c r="O140" t="s">
        <v>59</v>
      </c>
      <c r="P140" t="s">
        <v>36</v>
      </c>
      <c r="Q140">
        <v>151</v>
      </c>
      <c r="R140">
        <v>58</v>
      </c>
      <c r="S140">
        <v>24</v>
      </c>
      <c r="T140" t="s">
        <v>36</v>
      </c>
      <c r="U140" t="s">
        <v>36</v>
      </c>
      <c r="V140" t="s">
        <v>36</v>
      </c>
      <c r="W140" t="s">
        <v>126</v>
      </c>
      <c r="X140">
        <v>2024</v>
      </c>
      <c r="Y140" t="s">
        <v>94</v>
      </c>
      <c r="Z140" t="s">
        <v>62</v>
      </c>
      <c r="AA140" t="s">
        <v>41</v>
      </c>
    </row>
    <row r="141" spans="1:27" x14ac:dyDescent="0.3">
      <c r="A141" t="s">
        <v>259</v>
      </c>
      <c r="B141" t="s">
        <v>28</v>
      </c>
      <c r="C141">
        <v>23</v>
      </c>
      <c r="D141" t="s">
        <v>54</v>
      </c>
      <c r="E141" t="s">
        <v>153</v>
      </c>
      <c r="F141" t="s">
        <v>31</v>
      </c>
      <c r="G141">
        <v>51571</v>
      </c>
      <c r="H141" s="1">
        <v>44591</v>
      </c>
      <c r="I141" t="s">
        <v>47</v>
      </c>
      <c r="J141" t="s">
        <v>48</v>
      </c>
      <c r="K141" t="s">
        <v>34</v>
      </c>
      <c r="L141">
        <v>2</v>
      </c>
      <c r="M141">
        <v>2</v>
      </c>
      <c r="N141">
        <v>5</v>
      </c>
      <c r="O141" t="s">
        <v>35</v>
      </c>
      <c r="P141" t="s">
        <v>36</v>
      </c>
      <c r="Q141">
        <v>171</v>
      </c>
      <c r="R141">
        <v>39</v>
      </c>
      <c r="S141">
        <v>26</v>
      </c>
      <c r="T141" t="s">
        <v>36</v>
      </c>
      <c r="U141" t="s">
        <v>36</v>
      </c>
      <c r="V141" t="s">
        <v>36</v>
      </c>
      <c r="W141" t="s">
        <v>60</v>
      </c>
      <c r="X141">
        <v>2022</v>
      </c>
      <c r="Y141" t="s">
        <v>94</v>
      </c>
      <c r="Z141" t="s">
        <v>104</v>
      </c>
      <c r="AA141" t="s">
        <v>41</v>
      </c>
    </row>
    <row r="142" spans="1:27" x14ac:dyDescent="0.3">
      <c r="A142" t="s">
        <v>260</v>
      </c>
      <c r="B142" t="s">
        <v>28</v>
      </c>
      <c r="C142">
        <v>33</v>
      </c>
      <c r="D142" t="s">
        <v>89</v>
      </c>
      <c r="E142" t="s">
        <v>90</v>
      </c>
      <c r="F142" t="s">
        <v>96</v>
      </c>
      <c r="G142">
        <v>103423</v>
      </c>
      <c r="H142" s="1">
        <v>46143</v>
      </c>
      <c r="I142" t="s">
        <v>57</v>
      </c>
      <c r="J142" t="s">
        <v>101</v>
      </c>
      <c r="K142" t="s">
        <v>58</v>
      </c>
      <c r="L142">
        <v>19</v>
      </c>
      <c r="M142">
        <v>2</v>
      </c>
      <c r="N142">
        <v>3</v>
      </c>
      <c r="O142" t="s">
        <v>68</v>
      </c>
      <c r="P142" t="s">
        <v>37</v>
      </c>
      <c r="Q142">
        <v>207</v>
      </c>
      <c r="R142">
        <v>31</v>
      </c>
      <c r="S142">
        <v>27</v>
      </c>
      <c r="T142" t="s">
        <v>36</v>
      </c>
      <c r="U142" t="s">
        <v>36</v>
      </c>
      <c r="V142" t="s">
        <v>36</v>
      </c>
      <c r="W142" t="s">
        <v>60</v>
      </c>
      <c r="X142">
        <v>2026</v>
      </c>
      <c r="Y142" t="s">
        <v>74</v>
      </c>
      <c r="Z142" t="s">
        <v>40</v>
      </c>
      <c r="AA142" t="s">
        <v>87</v>
      </c>
    </row>
    <row r="143" spans="1:27" x14ac:dyDescent="0.3">
      <c r="A143" t="s">
        <v>261</v>
      </c>
      <c r="B143" t="s">
        <v>43</v>
      </c>
      <c r="C143">
        <v>41</v>
      </c>
      <c r="D143" t="s">
        <v>85</v>
      </c>
      <c r="E143" t="s">
        <v>168</v>
      </c>
      <c r="F143" t="s">
        <v>31</v>
      </c>
      <c r="G143">
        <v>68657</v>
      </c>
      <c r="H143" s="1">
        <v>43709</v>
      </c>
      <c r="I143" t="s">
        <v>107</v>
      </c>
      <c r="J143" t="s">
        <v>67</v>
      </c>
      <c r="K143" t="s">
        <v>34</v>
      </c>
      <c r="L143">
        <v>3</v>
      </c>
      <c r="M143">
        <v>5</v>
      </c>
      <c r="N143">
        <v>3</v>
      </c>
      <c r="O143" t="s">
        <v>50</v>
      </c>
      <c r="P143" t="s">
        <v>36</v>
      </c>
      <c r="Q143">
        <v>185</v>
      </c>
      <c r="R143">
        <v>70</v>
      </c>
      <c r="S143">
        <v>30</v>
      </c>
      <c r="T143" t="s">
        <v>36</v>
      </c>
      <c r="U143" t="s">
        <v>36</v>
      </c>
      <c r="V143" t="s">
        <v>36</v>
      </c>
      <c r="W143" t="s">
        <v>60</v>
      </c>
      <c r="X143">
        <v>2019</v>
      </c>
      <c r="Y143" t="s">
        <v>51</v>
      </c>
      <c r="Z143" t="s">
        <v>70</v>
      </c>
      <c r="AA143" t="s">
        <v>52</v>
      </c>
    </row>
    <row r="144" spans="1:27" x14ac:dyDescent="0.3">
      <c r="A144" t="s">
        <v>262</v>
      </c>
      <c r="B144" t="s">
        <v>28</v>
      </c>
      <c r="C144">
        <v>21</v>
      </c>
      <c r="D144" t="s">
        <v>77</v>
      </c>
      <c r="E144" t="s">
        <v>182</v>
      </c>
      <c r="F144" t="s">
        <v>46</v>
      </c>
      <c r="G144">
        <v>107984</v>
      </c>
      <c r="H144" s="1">
        <v>44009</v>
      </c>
      <c r="I144" t="s">
        <v>47</v>
      </c>
      <c r="J144" t="s">
        <v>101</v>
      </c>
      <c r="K144" t="s">
        <v>58</v>
      </c>
      <c r="L144">
        <v>7</v>
      </c>
      <c r="M144">
        <v>2</v>
      </c>
      <c r="N144">
        <v>2</v>
      </c>
      <c r="O144" t="s">
        <v>50</v>
      </c>
      <c r="P144" t="s">
        <v>36</v>
      </c>
      <c r="Q144">
        <v>191</v>
      </c>
      <c r="R144">
        <v>58</v>
      </c>
      <c r="S144">
        <v>14</v>
      </c>
      <c r="T144" t="s">
        <v>36</v>
      </c>
      <c r="U144" t="s">
        <v>36</v>
      </c>
      <c r="V144" t="s">
        <v>36</v>
      </c>
      <c r="W144" t="s">
        <v>60</v>
      </c>
      <c r="X144">
        <v>2020</v>
      </c>
      <c r="Y144" t="s">
        <v>61</v>
      </c>
      <c r="Z144" t="s">
        <v>104</v>
      </c>
      <c r="AA144" t="s">
        <v>87</v>
      </c>
    </row>
    <row r="145" spans="1:27" x14ac:dyDescent="0.3">
      <c r="A145" t="s">
        <v>263</v>
      </c>
      <c r="B145" t="s">
        <v>28</v>
      </c>
      <c r="C145">
        <v>33</v>
      </c>
      <c r="D145" t="s">
        <v>77</v>
      </c>
      <c r="E145" t="s">
        <v>78</v>
      </c>
      <c r="F145" t="s">
        <v>46</v>
      </c>
      <c r="G145">
        <v>94798</v>
      </c>
      <c r="H145" s="1">
        <v>44806</v>
      </c>
      <c r="I145" t="s">
        <v>107</v>
      </c>
      <c r="J145" t="s">
        <v>48</v>
      </c>
      <c r="K145" t="s">
        <v>34</v>
      </c>
      <c r="L145">
        <v>12</v>
      </c>
      <c r="M145">
        <v>5</v>
      </c>
      <c r="N145">
        <v>1</v>
      </c>
      <c r="O145" t="s">
        <v>59</v>
      </c>
      <c r="P145" t="s">
        <v>36</v>
      </c>
      <c r="Q145">
        <v>161</v>
      </c>
      <c r="R145">
        <v>32</v>
      </c>
      <c r="S145">
        <v>15</v>
      </c>
      <c r="T145" t="s">
        <v>37</v>
      </c>
      <c r="U145" t="s">
        <v>36</v>
      </c>
      <c r="V145" t="s">
        <v>36</v>
      </c>
      <c r="W145" t="s">
        <v>126</v>
      </c>
      <c r="X145">
        <v>2022</v>
      </c>
      <c r="Y145" t="s">
        <v>51</v>
      </c>
      <c r="Z145" t="s">
        <v>40</v>
      </c>
      <c r="AA145" t="s">
        <v>87</v>
      </c>
    </row>
    <row r="146" spans="1:27" x14ac:dyDescent="0.3">
      <c r="A146" t="s">
        <v>264</v>
      </c>
      <c r="B146" t="s">
        <v>43</v>
      </c>
      <c r="C146">
        <v>33</v>
      </c>
      <c r="D146" t="s">
        <v>65</v>
      </c>
      <c r="E146" t="s">
        <v>66</v>
      </c>
      <c r="F146" t="s">
        <v>46</v>
      </c>
      <c r="G146">
        <v>100868</v>
      </c>
      <c r="H146" s="1">
        <v>44000</v>
      </c>
      <c r="I146" t="s">
        <v>47</v>
      </c>
      <c r="J146" t="s">
        <v>99</v>
      </c>
      <c r="K146" t="s">
        <v>58</v>
      </c>
      <c r="L146">
        <v>14</v>
      </c>
      <c r="M146">
        <v>5</v>
      </c>
      <c r="N146">
        <v>4</v>
      </c>
      <c r="O146" t="s">
        <v>68</v>
      </c>
      <c r="P146" t="s">
        <v>36</v>
      </c>
      <c r="Q146">
        <v>237</v>
      </c>
      <c r="R146">
        <v>61</v>
      </c>
      <c r="S146">
        <v>16</v>
      </c>
      <c r="T146" t="s">
        <v>37</v>
      </c>
      <c r="U146" t="s">
        <v>37</v>
      </c>
      <c r="V146" t="s">
        <v>37</v>
      </c>
      <c r="W146" t="s">
        <v>38</v>
      </c>
      <c r="X146">
        <v>2020</v>
      </c>
      <c r="Y146" t="s">
        <v>61</v>
      </c>
      <c r="Z146" t="s">
        <v>40</v>
      </c>
      <c r="AA146" t="s">
        <v>87</v>
      </c>
    </row>
    <row r="147" spans="1:27" x14ac:dyDescent="0.3">
      <c r="A147" t="s">
        <v>265</v>
      </c>
      <c r="B147" t="s">
        <v>43</v>
      </c>
      <c r="C147">
        <v>37</v>
      </c>
      <c r="D147" t="s">
        <v>44</v>
      </c>
      <c r="E147" t="s">
        <v>115</v>
      </c>
      <c r="F147" t="s">
        <v>46</v>
      </c>
      <c r="G147">
        <v>75418</v>
      </c>
      <c r="H147" s="1">
        <v>43848</v>
      </c>
      <c r="I147" t="s">
        <v>107</v>
      </c>
      <c r="J147" t="s">
        <v>33</v>
      </c>
      <c r="K147" t="s">
        <v>49</v>
      </c>
      <c r="L147">
        <v>9</v>
      </c>
      <c r="M147">
        <v>3</v>
      </c>
      <c r="N147">
        <v>3</v>
      </c>
      <c r="O147" t="s">
        <v>35</v>
      </c>
      <c r="P147" t="s">
        <v>37</v>
      </c>
      <c r="Q147">
        <v>197</v>
      </c>
      <c r="R147">
        <v>17</v>
      </c>
      <c r="S147">
        <v>2</v>
      </c>
      <c r="T147" t="s">
        <v>37</v>
      </c>
      <c r="U147" t="s">
        <v>36</v>
      </c>
      <c r="V147" t="s">
        <v>37</v>
      </c>
      <c r="W147" t="s">
        <v>38</v>
      </c>
      <c r="X147">
        <v>2020</v>
      </c>
      <c r="Y147" t="s">
        <v>94</v>
      </c>
      <c r="Z147" t="s">
        <v>62</v>
      </c>
      <c r="AA147" t="s">
        <v>52</v>
      </c>
    </row>
    <row r="148" spans="1:27" x14ac:dyDescent="0.3">
      <c r="A148" t="s">
        <v>266</v>
      </c>
      <c r="B148" t="s">
        <v>43</v>
      </c>
      <c r="C148">
        <v>23</v>
      </c>
      <c r="D148" t="s">
        <v>54</v>
      </c>
      <c r="E148" t="s">
        <v>111</v>
      </c>
      <c r="F148" t="s">
        <v>31</v>
      </c>
      <c r="G148">
        <v>59021</v>
      </c>
      <c r="H148" s="1">
        <v>45288</v>
      </c>
      <c r="I148" t="s">
        <v>47</v>
      </c>
      <c r="J148" t="s">
        <v>73</v>
      </c>
      <c r="K148" t="s">
        <v>49</v>
      </c>
      <c r="L148">
        <v>7</v>
      </c>
      <c r="M148">
        <v>1</v>
      </c>
      <c r="N148">
        <v>1</v>
      </c>
      <c r="O148" t="s">
        <v>35</v>
      </c>
      <c r="P148" t="s">
        <v>36</v>
      </c>
      <c r="Q148">
        <v>193</v>
      </c>
      <c r="R148">
        <v>34</v>
      </c>
      <c r="S148">
        <v>14</v>
      </c>
      <c r="T148" t="s">
        <v>37</v>
      </c>
      <c r="U148" t="s">
        <v>37</v>
      </c>
      <c r="V148" t="s">
        <v>36</v>
      </c>
      <c r="W148" t="s">
        <v>60</v>
      </c>
      <c r="X148">
        <v>2023</v>
      </c>
      <c r="Y148" t="s">
        <v>116</v>
      </c>
      <c r="Z148" t="s">
        <v>104</v>
      </c>
      <c r="AA148" t="s">
        <v>41</v>
      </c>
    </row>
    <row r="149" spans="1:27" x14ac:dyDescent="0.3">
      <c r="A149" t="s">
        <v>267</v>
      </c>
      <c r="B149" t="s">
        <v>28</v>
      </c>
      <c r="C149">
        <v>22</v>
      </c>
      <c r="D149" t="s">
        <v>65</v>
      </c>
      <c r="E149" t="s">
        <v>66</v>
      </c>
      <c r="F149" t="s">
        <v>46</v>
      </c>
      <c r="G149">
        <v>73986</v>
      </c>
      <c r="H149" s="1">
        <v>44011</v>
      </c>
      <c r="I149" t="s">
        <v>32</v>
      </c>
      <c r="J149" t="s">
        <v>101</v>
      </c>
      <c r="K149" t="s">
        <v>49</v>
      </c>
      <c r="L149">
        <v>11</v>
      </c>
      <c r="M149">
        <v>2</v>
      </c>
      <c r="N149">
        <v>1</v>
      </c>
      <c r="O149" t="s">
        <v>68</v>
      </c>
      <c r="P149" t="s">
        <v>36</v>
      </c>
      <c r="Q149">
        <v>222</v>
      </c>
      <c r="R149">
        <v>24</v>
      </c>
      <c r="S149">
        <v>15</v>
      </c>
      <c r="T149" t="s">
        <v>36</v>
      </c>
      <c r="U149" t="s">
        <v>37</v>
      </c>
      <c r="V149" t="s">
        <v>36</v>
      </c>
      <c r="W149" t="s">
        <v>126</v>
      </c>
      <c r="X149">
        <v>2020</v>
      </c>
      <c r="Y149" t="s">
        <v>61</v>
      </c>
      <c r="Z149" t="s">
        <v>104</v>
      </c>
      <c r="AA149" t="s">
        <v>52</v>
      </c>
    </row>
    <row r="150" spans="1:27" x14ac:dyDescent="0.3">
      <c r="A150" t="s">
        <v>268</v>
      </c>
      <c r="B150" t="s">
        <v>28</v>
      </c>
      <c r="C150">
        <v>35</v>
      </c>
      <c r="D150" t="s">
        <v>54</v>
      </c>
      <c r="E150" t="s">
        <v>153</v>
      </c>
      <c r="F150" t="s">
        <v>31</v>
      </c>
      <c r="G150">
        <v>66656</v>
      </c>
      <c r="H150" s="1">
        <v>45880</v>
      </c>
      <c r="I150" t="s">
        <v>57</v>
      </c>
      <c r="J150" t="s">
        <v>33</v>
      </c>
      <c r="K150" t="s">
        <v>34</v>
      </c>
      <c r="L150">
        <v>2</v>
      </c>
      <c r="M150">
        <v>4</v>
      </c>
      <c r="N150">
        <v>3</v>
      </c>
      <c r="O150" t="s">
        <v>50</v>
      </c>
      <c r="P150" t="s">
        <v>36</v>
      </c>
      <c r="Q150">
        <v>190</v>
      </c>
      <c r="R150">
        <v>8</v>
      </c>
      <c r="S150">
        <v>29</v>
      </c>
      <c r="T150" t="s">
        <v>36</v>
      </c>
      <c r="U150" t="s">
        <v>36</v>
      </c>
      <c r="V150" t="s">
        <v>36</v>
      </c>
      <c r="W150" t="s">
        <v>60</v>
      </c>
      <c r="X150">
        <v>2025</v>
      </c>
      <c r="Y150" t="s">
        <v>128</v>
      </c>
      <c r="Z150" t="s">
        <v>40</v>
      </c>
      <c r="AA150" t="s">
        <v>52</v>
      </c>
    </row>
    <row r="151" spans="1:27" x14ac:dyDescent="0.3">
      <c r="A151" t="s">
        <v>269</v>
      </c>
      <c r="B151" t="s">
        <v>28</v>
      </c>
      <c r="C151">
        <v>34</v>
      </c>
      <c r="D151" t="s">
        <v>44</v>
      </c>
      <c r="E151" t="s">
        <v>45</v>
      </c>
      <c r="F151" t="s">
        <v>46</v>
      </c>
      <c r="G151">
        <v>107347</v>
      </c>
      <c r="H151" s="1">
        <v>44446</v>
      </c>
      <c r="I151" t="s">
        <v>57</v>
      </c>
      <c r="J151" t="s">
        <v>99</v>
      </c>
      <c r="K151" t="s">
        <v>49</v>
      </c>
      <c r="L151">
        <v>5</v>
      </c>
      <c r="M151">
        <v>4</v>
      </c>
      <c r="N151">
        <v>4</v>
      </c>
      <c r="O151" t="s">
        <v>50</v>
      </c>
      <c r="P151" t="s">
        <v>37</v>
      </c>
      <c r="Q151">
        <v>180</v>
      </c>
      <c r="R151">
        <v>21</v>
      </c>
      <c r="S151">
        <v>14</v>
      </c>
      <c r="T151" t="s">
        <v>36</v>
      </c>
      <c r="U151" t="s">
        <v>36</v>
      </c>
      <c r="V151" t="s">
        <v>36</v>
      </c>
      <c r="W151" t="s">
        <v>126</v>
      </c>
      <c r="X151">
        <v>2021</v>
      </c>
      <c r="Y151" t="s">
        <v>51</v>
      </c>
      <c r="Z151" t="s">
        <v>40</v>
      </c>
      <c r="AA151" t="s">
        <v>87</v>
      </c>
    </row>
    <row r="152" spans="1:27" x14ac:dyDescent="0.3">
      <c r="A152" t="s">
        <v>270</v>
      </c>
      <c r="B152" t="s">
        <v>43</v>
      </c>
      <c r="C152">
        <v>33</v>
      </c>
      <c r="D152" t="s">
        <v>85</v>
      </c>
      <c r="E152" t="s">
        <v>159</v>
      </c>
      <c r="F152" t="s">
        <v>56</v>
      </c>
      <c r="G152">
        <v>28546</v>
      </c>
      <c r="H152" s="1">
        <v>43522</v>
      </c>
      <c r="I152" t="s">
        <v>98</v>
      </c>
      <c r="J152" t="s">
        <v>118</v>
      </c>
      <c r="K152" t="s">
        <v>49</v>
      </c>
      <c r="L152">
        <v>0</v>
      </c>
      <c r="M152">
        <v>3</v>
      </c>
      <c r="N152">
        <v>2</v>
      </c>
      <c r="O152" t="s">
        <v>59</v>
      </c>
      <c r="P152" t="s">
        <v>37</v>
      </c>
      <c r="Q152">
        <v>157</v>
      </c>
      <c r="R152">
        <v>15</v>
      </c>
      <c r="S152">
        <v>22</v>
      </c>
      <c r="T152" t="s">
        <v>36</v>
      </c>
      <c r="U152" t="s">
        <v>36</v>
      </c>
      <c r="V152" t="s">
        <v>36</v>
      </c>
      <c r="W152" t="s">
        <v>60</v>
      </c>
      <c r="X152">
        <v>2019</v>
      </c>
      <c r="Y152" t="s">
        <v>39</v>
      </c>
      <c r="Z152" t="s">
        <v>40</v>
      </c>
      <c r="AA152" t="s">
        <v>63</v>
      </c>
    </row>
    <row r="153" spans="1:27" x14ac:dyDescent="0.3">
      <c r="A153" t="s">
        <v>271</v>
      </c>
      <c r="B153" t="s">
        <v>43</v>
      </c>
      <c r="C153">
        <v>34</v>
      </c>
      <c r="D153" t="s">
        <v>54</v>
      </c>
      <c r="E153" t="s">
        <v>207</v>
      </c>
      <c r="F153" t="s">
        <v>56</v>
      </c>
      <c r="G153">
        <v>44754</v>
      </c>
      <c r="H153" s="1">
        <v>44102</v>
      </c>
      <c r="I153" t="s">
        <v>47</v>
      </c>
      <c r="J153" t="s">
        <v>33</v>
      </c>
      <c r="K153" t="s">
        <v>58</v>
      </c>
      <c r="L153">
        <v>1</v>
      </c>
      <c r="M153">
        <v>5</v>
      </c>
      <c r="N153">
        <v>3</v>
      </c>
      <c r="O153" t="s">
        <v>68</v>
      </c>
      <c r="P153" t="s">
        <v>36</v>
      </c>
      <c r="Q153">
        <v>225</v>
      </c>
      <c r="R153">
        <v>16</v>
      </c>
      <c r="S153">
        <v>15</v>
      </c>
      <c r="T153" t="s">
        <v>37</v>
      </c>
      <c r="U153" t="s">
        <v>37</v>
      </c>
      <c r="V153" t="s">
        <v>36</v>
      </c>
      <c r="W153" t="s">
        <v>126</v>
      </c>
      <c r="X153">
        <v>2020</v>
      </c>
      <c r="Y153" t="s">
        <v>51</v>
      </c>
      <c r="Z153" t="s">
        <v>40</v>
      </c>
      <c r="AA153" t="s">
        <v>41</v>
      </c>
    </row>
    <row r="154" spans="1:27" x14ac:dyDescent="0.3">
      <c r="A154" t="s">
        <v>272</v>
      </c>
      <c r="B154" t="s">
        <v>28</v>
      </c>
      <c r="C154">
        <v>27</v>
      </c>
      <c r="D154" t="s">
        <v>81</v>
      </c>
      <c r="E154" t="s">
        <v>113</v>
      </c>
      <c r="F154" t="s">
        <v>56</v>
      </c>
      <c r="G154">
        <v>28415</v>
      </c>
      <c r="H154" s="1">
        <v>43512</v>
      </c>
      <c r="I154" t="s">
        <v>32</v>
      </c>
      <c r="J154" t="s">
        <v>67</v>
      </c>
      <c r="K154" t="s">
        <v>34</v>
      </c>
      <c r="L154">
        <v>1</v>
      </c>
      <c r="M154">
        <v>2</v>
      </c>
      <c r="N154">
        <v>4</v>
      </c>
      <c r="O154" t="s">
        <v>35</v>
      </c>
      <c r="P154" t="s">
        <v>36</v>
      </c>
      <c r="Q154">
        <v>216</v>
      </c>
      <c r="R154">
        <v>8</v>
      </c>
      <c r="S154">
        <v>12</v>
      </c>
      <c r="T154" t="s">
        <v>36</v>
      </c>
      <c r="U154" t="s">
        <v>36</v>
      </c>
      <c r="V154" t="s">
        <v>36</v>
      </c>
      <c r="W154" t="s">
        <v>60</v>
      </c>
      <c r="X154">
        <v>2019</v>
      </c>
      <c r="Y154" t="s">
        <v>39</v>
      </c>
      <c r="Z154" t="s">
        <v>75</v>
      </c>
      <c r="AA154" t="s">
        <v>63</v>
      </c>
    </row>
    <row r="155" spans="1:27" x14ac:dyDescent="0.3">
      <c r="A155" t="s">
        <v>273</v>
      </c>
      <c r="B155" t="s">
        <v>28</v>
      </c>
      <c r="C155">
        <v>33</v>
      </c>
      <c r="D155" t="s">
        <v>81</v>
      </c>
      <c r="E155" t="s">
        <v>201</v>
      </c>
      <c r="F155" t="s">
        <v>96</v>
      </c>
      <c r="G155">
        <v>149663</v>
      </c>
      <c r="H155" s="1">
        <v>44941</v>
      </c>
      <c r="I155" t="s">
        <v>57</v>
      </c>
      <c r="J155" t="s">
        <v>48</v>
      </c>
      <c r="K155" t="s">
        <v>58</v>
      </c>
      <c r="L155">
        <v>16</v>
      </c>
      <c r="M155">
        <v>1</v>
      </c>
      <c r="N155">
        <v>4</v>
      </c>
      <c r="O155" t="s">
        <v>35</v>
      </c>
      <c r="P155" t="s">
        <v>36</v>
      </c>
      <c r="Q155">
        <v>171</v>
      </c>
      <c r="R155">
        <v>10</v>
      </c>
      <c r="S155">
        <v>29</v>
      </c>
      <c r="T155" t="s">
        <v>37</v>
      </c>
      <c r="U155" t="s">
        <v>36</v>
      </c>
      <c r="V155" t="s">
        <v>37</v>
      </c>
      <c r="W155" t="s">
        <v>38</v>
      </c>
      <c r="X155">
        <v>2023</v>
      </c>
      <c r="Y155" t="s">
        <v>94</v>
      </c>
      <c r="Z155" t="s">
        <v>40</v>
      </c>
      <c r="AA155" t="s">
        <v>105</v>
      </c>
    </row>
    <row r="156" spans="1:27" x14ac:dyDescent="0.3">
      <c r="A156" t="s">
        <v>274</v>
      </c>
      <c r="B156" t="s">
        <v>28</v>
      </c>
      <c r="C156">
        <v>34</v>
      </c>
      <c r="D156" t="s">
        <v>29</v>
      </c>
      <c r="E156" t="s">
        <v>122</v>
      </c>
      <c r="F156" t="s">
        <v>46</v>
      </c>
      <c r="G156">
        <v>90098</v>
      </c>
      <c r="H156" s="1">
        <v>44199</v>
      </c>
      <c r="I156" t="s">
        <v>32</v>
      </c>
      <c r="J156" t="s">
        <v>118</v>
      </c>
      <c r="K156" t="s">
        <v>34</v>
      </c>
      <c r="L156">
        <v>7</v>
      </c>
      <c r="M156">
        <v>1</v>
      </c>
      <c r="N156">
        <v>5</v>
      </c>
      <c r="O156" t="s">
        <v>50</v>
      </c>
      <c r="P156" t="s">
        <v>36</v>
      </c>
      <c r="Q156">
        <v>244</v>
      </c>
      <c r="R156">
        <v>39</v>
      </c>
      <c r="S156">
        <v>28</v>
      </c>
      <c r="T156" t="s">
        <v>37</v>
      </c>
      <c r="U156" t="s">
        <v>36</v>
      </c>
      <c r="V156" t="s">
        <v>36</v>
      </c>
      <c r="W156" t="s">
        <v>60</v>
      </c>
      <c r="X156">
        <v>2021</v>
      </c>
      <c r="Y156" t="s">
        <v>94</v>
      </c>
      <c r="Z156" t="s">
        <v>40</v>
      </c>
      <c r="AA156" t="s">
        <v>87</v>
      </c>
    </row>
    <row r="157" spans="1:27" x14ac:dyDescent="0.3">
      <c r="A157" t="s">
        <v>275</v>
      </c>
      <c r="B157" t="s">
        <v>28</v>
      </c>
      <c r="C157">
        <v>26</v>
      </c>
      <c r="D157" t="s">
        <v>29</v>
      </c>
      <c r="E157" t="s">
        <v>93</v>
      </c>
      <c r="F157" t="s">
        <v>31</v>
      </c>
      <c r="G157">
        <v>68356</v>
      </c>
      <c r="H157" s="1">
        <v>43654</v>
      </c>
      <c r="I157" t="s">
        <v>107</v>
      </c>
      <c r="J157" t="s">
        <v>91</v>
      </c>
      <c r="K157" t="s">
        <v>58</v>
      </c>
      <c r="L157">
        <v>6</v>
      </c>
      <c r="M157">
        <v>4</v>
      </c>
      <c r="N157">
        <v>1</v>
      </c>
      <c r="O157" t="s">
        <v>59</v>
      </c>
      <c r="P157" t="s">
        <v>36</v>
      </c>
      <c r="Q157">
        <v>260</v>
      </c>
      <c r="R157">
        <v>6</v>
      </c>
      <c r="S157">
        <v>13</v>
      </c>
      <c r="T157" t="s">
        <v>37</v>
      </c>
      <c r="U157" t="s">
        <v>36</v>
      </c>
      <c r="V157" t="s">
        <v>36</v>
      </c>
      <c r="W157" t="s">
        <v>60</v>
      </c>
      <c r="X157">
        <v>2019</v>
      </c>
      <c r="Y157" t="s">
        <v>79</v>
      </c>
      <c r="Z157" t="s">
        <v>75</v>
      </c>
      <c r="AA157" t="s">
        <v>52</v>
      </c>
    </row>
    <row r="158" spans="1:27" x14ac:dyDescent="0.3">
      <c r="A158" t="s">
        <v>276</v>
      </c>
      <c r="B158" t="s">
        <v>43</v>
      </c>
      <c r="C158">
        <v>45</v>
      </c>
      <c r="D158" t="s">
        <v>44</v>
      </c>
      <c r="E158" t="s">
        <v>45</v>
      </c>
      <c r="F158" t="s">
        <v>46</v>
      </c>
      <c r="G158">
        <v>103777</v>
      </c>
      <c r="H158" s="1">
        <v>44266</v>
      </c>
      <c r="I158" t="s">
        <v>98</v>
      </c>
      <c r="J158" t="s">
        <v>91</v>
      </c>
      <c r="K158" t="s">
        <v>34</v>
      </c>
      <c r="L158">
        <v>12</v>
      </c>
      <c r="M158">
        <v>5</v>
      </c>
      <c r="N158">
        <v>2</v>
      </c>
      <c r="O158" t="s">
        <v>35</v>
      </c>
      <c r="P158" t="s">
        <v>37</v>
      </c>
      <c r="Q158">
        <v>150</v>
      </c>
      <c r="R158">
        <v>47</v>
      </c>
      <c r="S158">
        <v>2</v>
      </c>
      <c r="T158" t="s">
        <v>36</v>
      </c>
      <c r="U158" t="s">
        <v>36</v>
      </c>
      <c r="V158" t="s">
        <v>37</v>
      </c>
      <c r="W158" t="s">
        <v>38</v>
      </c>
      <c r="X158">
        <v>2021</v>
      </c>
      <c r="Y158" t="s">
        <v>142</v>
      </c>
      <c r="Z158" t="s">
        <v>70</v>
      </c>
      <c r="AA158" t="s">
        <v>87</v>
      </c>
    </row>
    <row r="159" spans="1:27" x14ac:dyDescent="0.3">
      <c r="A159" t="s">
        <v>277</v>
      </c>
      <c r="B159" t="s">
        <v>43</v>
      </c>
      <c r="C159">
        <v>35</v>
      </c>
      <c r="D159" t="s">
        <v>81</v>
      </c>
      <c r="E159" t="s">
        <v>201</v>
      </c>
      <c r="F159" t="s">
        <v>31</v>
      </c>
      <c r="G159">
        <v>59360</v>
      </c>
      <c r="H159" s="1">
        <v>45185</v>
      </c>
      <c r="I159" t="s">
        <v>32</v>
      </c>
      <c r="J159" t="s">
        <v>118</v>
      </c>
      <c r="K159" t="s">
        <v>34</v>
      </c>
      <c r="L159">
        <v>3</v>
      </c>
      <c r="M159">
        <v>4</v>
      </c>
      <c r="N159">
        <v>1</v>
      </c>
      <c r="O159" t="s">
        <v>50</v>
      </c>
      <c r="P159" t="s">
        <v>37</v>
      </c>
      <c r="Q159">
        <v>241</v>
      </c>
      <c r="R159">
        <v>63</v>
      </c>
      <c r="S159">
        <v>25</v>
      </c>
      <c r="T159" t="s">
        <v>37</v>
      </c>
      <c r="U159" t="s">
        <v>36</v>
      </c>
      <c r="V159" t="s">
        <v>37</v>
      </c>
      <c r="W159" t="s">
        <v>38</v>
      </c>
      <c r="X159">
        <v>2023</v>
      </c>
      <c r="Y159" t="s">
        <v>51</v>
      </c>
      <c r="Z159" t="s">
        <v>40</v>
      </c>
      <c r="AA159" t="s">
        <v>41</v>
      </c>
    </row>
    <row r="160" spans="1:27" x14ac:dyDescent="0.3">
      <c r="A160" t="s">
        <v>278</v>
      </c>
      <c r="B160" t="s">
        <v>28</v>
      </c>
      <c r="C160">
        <v>23</v>
      </c>
      <c r="D160" t="s">
        <v>85</v>
      </c>
      <c r="E160" t="s">
        <v>159</v>
      </c>
      <c r="F160" t="s">
        <v>56</v>
      </c>
      <c r="G160">
        <v>30040</v>
      </c>
      <c r="H160" s="1">
        <v>46179</v>
      </c>
      <c r="I160" t="s">
        <v>47</v>
      </c>
      <c r="J160" t="s">
        <v>91</v>
      </c>
      <c r="K160" t="s">
        <v>49</v>
      </c>
      <c r="L160">
        <v>3</v>
      </c>
      <c r="M160">
        <v>2</v>
      </c>
      <c r="N160">
        <v>2</v>
      </c>
      <c r="O160" t="s">
        <v>59</v>
      </c>
      <c r="P160" t="s">
        <v>36</v>
      </c>
      <c r="Q160">
        <v>183</v>
      </c>
      <c r="R160">
        <v>39</v>
      </c>
      <c r="S160">
        <v>9</v>
      </c>
      <c r="T160" t="s">
        <v>37</v>
      </c>
      <c r="U160" t="s">
        <v>36</v>
      </c>
      <c r="V160" t="s">
        <v>36</v>
      </c>
      <c r="W160" t="s">
        <v>60</v>
      </c>
      <c r="X160">
        <v>2026</v>
      </c>
      <c r="Y160" t="s">
        <v>61</v>
      </c>
      <c r="Z160" t="s">
        <v>104</v>
      </c>
      <c r="AA160" t="s">
        <v>63</v>
      </c>
    </row>
    <row r="161" spans="1:27" x14ac:dyDescent="0.3">
      <c r="A161" t="s">
        <v>279</v>
      </c>
      <c r="B161" t="s">
        <v>28</v>
      </c>
      <c r="C161">
        <v>36</v>
      </c>
      <c r="D161" t="s">
        <v>54</v>
      </c>
      <c r="E161" t="s">
        <v>111</v>
      </c>
      <c r="F161" t="s">
        <v>56</v>
      </c>
      <c r="G161">
        <v>33386</v>
      </c>
      <c r="H161" s="1">
        <v>45374</v>
      </c>
      <c r="I161" t="s">
        <v>32</v>
      </c>
      <c r="J161" t="s">
        <v>101</v>
      </c>
      <c r="K161" t="s">
        <v>49</v>
      </c>
      <c r="L161">
        <v>3</v>
      </c>
      <c r="M161">
        <v>3</v>
      </c>
      <c r="N161">
        <v>4</v>
      </c>
      <c r="O161" t="s">
        <v>59</v>
      </c>
      <c r="P161" t="s">
        <v>37</v>
      </c>
      <c r="Q161">
        <v>218</v>
      </c>
      <c r="R161">
        <v>38</v>
      </c>
      <c r="S161">
        <v>29</v>
      </c>
      <c r="T161" t="s">
        <v>37</v>
      </c>
      <c r="U161" t="s">
        <v>36</v>
      </c>
      <c r="V161" t="s">
        <v>36</v>
      </c>
      <c r="W161" t="s">
        <v>60</v>
      </c>
      <c r="X161">
        <v>2024</v>
      </c>
      <c r="Y161" t="s">
        <v>142</v>
      </c>
      <c r="Z161" t="s">
        <v>62</v>
      </c>
      <c r="AA161" t="s">
        <v>63</v>
      </c>
    </row>
    <row r="162" spans="1:27" x14ac:dyDescent="0.3">
      <c r="A162" t="s">
        <v>280</v>
      </c>
      <c r="B162" t="s">
        <v>28</v>
      </c>
      <c r="C162">
        <v>25</v>
      </c>
      <c r="D162" t="s">
        <v>81</v>
      </c>
      <c r="E162" t="s">
        <v>201</v>
      </c>
      <c r="F162" t="s">
        <v>31</v>
      </c>
      <c r="G162">
        <v>69391</v>
      </c>
      <c r="H162" s="1">
        <v>44073</v>
      </c>
      <c r="I162" t="s">
        <v>107</v>
      </c>
      <c r="J162" t="s">
        <v>73</v>
      </c>
      <c r="K162" t="s">
        <v>58</v>
      </c>
      <c r="L162">
        <v>4</v>
      </c>
      <c r="M162">
        <v>1</v>
      </c>
      <c r="N162">
        <v>2</v>
      </c>
      <c r="O162" t="s">
        <v>59</v>
      </c>
      <c r="P162" t="s">
        <v>36</v>
      </c>
      <c r="Q162">
        <v>200</v>
      </c>
      <c r="R162">
        <v>62</v>
      </c>
      <c r="S162">
        <v>19</v>
      </c>
      <c r="T162" t="s">
        <v>36</v>
      </c>
      <c r="U162" t="s">
        <v>37</v>
      </c>
      <c r="V162" t="s">
        <v>36</v>
      </c>
      <c r="W162" t="s">
        <v>60</v>
      </c>
      <c r="X162">
        <v>2020</v>
      </c>
      <c r="Y162" t="s">
        <v>128</v>
      </c>
      <c r="Z162" t="s">
        <v>104</v>
      </c>
      <c r="AA162" t="s">
        <v>52</v>
      </c>
    </row>
    <row r="163" spans="1:27" x14ac:dyDescent="0.3">
      <c r="A163" t="s">
        <v>281</v>
      </c>
      <c r="B163" t="s">
        <v>28</v>
      </c>
      <c r="C163">
        <v>37</v>
      </c>
      <c r="D163" t="s">
        <v>89</v>
      </c>
      <c r="E163" t="s">
        <v>203</v>
      </c>
      <c r="F163" t="s">
        <v>31</v>
      </c>
      <c r="G163">
        <v>45979</v>
      </c>
      <c r="H163" s="1">
        <v>43718</v>
      </c>
      <c r="I163" t="s">
        <v>57</v>
      </c>
      <c r="J163" t="s">
        <v>67</v>
      </c>
      <c r="K163" t="s">
        <v>58</v>
      </c>
      <c r="L163">
        <v>2</v>
      </c>
      <c r="M163">
        <v>2</v>
      </c>
      <c r="N163">
        <v>2</v>
      </c>
      <c r="O163" t="s">
        <v>35</v>
      </c>
      <c r="P163" t="s">
        <v>37</v>
      </c>
      <c r="Q163">
        <v>255</v>
      </c>
      <c r="R163">
        <v>13</v>
      </c>
      <c r="S163">
        <v>8</v>
      </c>
      <c r="T163" t="s">
        <v>36</v>
      </c>
      <c r="U163" t="s">
        <v>36</v>
      </c>
      <c r="V163" t="s">
        <v>36</v>
      </c>
      <c r="W163" t="s">
        <v>126</v>
      </c>
      <c r="X163">
        <v>2019</v>
      </c>
      <c r="Y163" t="s">
        <v>51</v>
      </c>
      <c r="Z163" t="s">
        <v>62</v>
      </c>
      <c r="AA163" t="s">
        <v>41</v>
      </c>
    </row>
    <row r="164" spans="1:27" x14ac:dyDescent="0.3">
      <c r="A164" t="s">
        <v>282</v>
      </c>
      <c r="B164" t="s">
        <v>28</v>
      </c>
      <c r="C164">
        <v>40</v>
      </c>
      <c r="D164" t="s">
        <v>54</v>
      </c>
      <c r="E164" t="s">
        <v>207</v>
      </c>
      <c r="F164" t="s">
        <v>56</v>
      </c>
      <c r="G164">
        <v>29399</v>
      </c>
      <c r="H164" s="1">
        <v>43673</v>
      </c>
      <c r="I164" t="s">
        <v>47</v>
      </c>
      <c r="J164" t="s">
        <v>118</v>
      </c>
      <c r="K164" t="s">
        <v>58</v>
      </c>
      <c r="L164">
        <v>3</v>
      </c>
      <c r="M164">
        <v>2</v>
      </c>
      <c r="N164">
        <v>5</v>
      </c>
      <c r="O164" t="s">
        <v>50</v>
      </c>
      <c r="P164" t="s">
        <v>36</v>
      </c>
      <c r="Q164">
        <v>255</v>
      </c>
      <c r="R164">
        <v>32</v>
      </c>
      <c r="S164">
        <v>7</v>
      </c>
      <c r="T164" t="s">
        <v>36</v>
      </c>
      <c r="U164" t="s">
        <v>36</v>
      </c>
      <c r="V164" t="s">
        <v>36</v>
      </c>
      <c r="W164" t="s">
        <v>60</v>
      </c>
      <c r="X164">
        <v>2019</v>
      </c>
      <c r="Y164" t="s">
        <v>79</v>
      </c>
      <c r="Z164" t="s">
        <v>62</v>
      </c>
      <c r="AA164" t="s">
        <v>63</v>
      </c>
    </row>
    <row r="165" spans="1:27" x14ac:dyDescent="0.3">
      <c r="A165" t="s">
        <v>283</v>
      </c>
      <c r="B165" t="s">
        <v>43</v>
      </c>
      <c r="C165">
        <v>26</v>
      </c>
      <c r="D165" t="s">
        <v>85</v>
      </c>
      <c r="E165" t="s">
        <v>86</v>
      </c>
      <c r="F165" t="s">
        <v>31</v>
      </c>
      <c r="G165">
        <v>63210</v>
      </c>
      <c r="H165" s="1">
        <v>45509</v>
      </c>
      <c r="I165" t="s">
        <v>32</v>
      </c>
      <c r="J165" t="s">
        <v>118</v>
      </c>
      <c r="K165" t="s">
        <v>58</v>
      </c>
      <c r="L165">
        <v>4</v>
      </c>
      <c r="M165">
        <v>4</v>
      </c>
      <c r="N165">
        <v>5</v>
      </c>
      <c r="O165" t="s">
        <v>68</v>
      </c>
      <c r="P165" t="s">
        <v>36</v>
      </c>
      <c r="Q165">
        <v>157</v>
      </c>
      <c r="R165">
        <v>74</v>
      </c>
      <c r="S165">
        <v>27</v>
      </c>
      <c r="T165" t="s">
        <v>37</v>
      </c>
      <c r="U165" t="s">
        <v>37</v>
      </c>
      <c r="V165" t="s">
        <v>36</v>
      </c>
      <c r="W165" t="s">
        <v>126</v>
      </c>
      <c r="X165">
        <v>2024</v>
      </c>
      <c r="Y165" t="s">
        <v>128</v>
      </c>
      <c r="Z165" t="s">
        <v>75</v>
      </c>
      <c r="AA165" t="s">
        <v>52</v>
      </c>
    </row>
    <row r="166" spans="1:27" x14ac:dyDescent="0.3">
      <c r="A166" t="s">
        <v>284</v>
      </c>
      <c r="B166" t="s">
        <v>43</v>
      </c>
      <c r="C166">
        <v>38</v>
      </c>
      <c r="D166" t="s">
        <v>89</v>
      </c>
      <c r="E166" t="s">
        <v>130</v>
      </c>
      <c r="F166" t="s">
        <v>46</v>
      </c>
      <c r="G166">
        <v>102070</v>
      </c>
      <c r="H166" s="1">
        <v>44783</v>
      </c>
      <c r="I166" t="s">
        <v>57</v>
      </c>
      <c r="J166" t="s">
        <v>67</v>
      </c>
      <c r="K166" t="s">
        <v>58</v>
      </c>
      <c r="L166">
        <v>13</v>
      </c>
      <c r="M166">
        <v>4</v>
      </c>
      <c r="N166">
        <v>3</v>
      </c>
      <c r="O166" t="s">
        <v>59</v>
      </c>
      <c r="P166" t="s">
        <v>37</v>
      </c>
      <c r="Q166">
        <v>153</v>
      </c>
      <c r="R166">
        <v>72</v>
      </c>
      <c r="S166">
        <v>13</v>
      </c>
      <c r="T166" t="s">
        <v>36</v>
      </c>
      <c r="U166" t="s">
        <v>36</v>
      </c>
      <c r="V166" t="s">
        <v>36</v>
      </c>
      <c r="W166" t="s">
        <v>60</v>
      </c>
      <c r="X166">
        <v>2022</v>
      </c>
      <c r="Y166" t="s">
        <v>128</v>
      </c>
      <c r="Z166" t="s">
        <v>62</v>
      </c>
      <c r="AA166" t="s">
        <v>87</v>
      </c>
    </row>
    <row r="167" spans="1:27" x14ac:dyDescent="0.3">
      <c r="A167" t="s">
        <v>285</v>
      </c>
      <c r="B167" t="s">
        <v>28</v>
      </c>
      <c r="C167">
        <v>34</v>
      </c>
      <c r="D167" t="s">
        <v>54</v>
      </c>
      <c r="E167" t="s">
        <v>111</v>
      </c>
      <c r="F167" t="s">
        <v>31</v>
      </c>
      <c r="G167">
        <v>50733</v>
      </c>
      <c r="H167" s="1">
        <v>43695</v>
      </c>
      <c r="I167" t="s">
        <v>98</v>
      </c>
      <c r="J167" t="s">
        <v>91</v>
      </c>
      <c r="K167" t="s">
        <v>34</v>
      </c>
      <c r="L167">
        <v>6</v>
      </c>
      <c r="M167">
        <v>2</v>
      </c>
      <c r="N167">
        <v>5</v>
      </c>
      <c r="O167" t="s">
        <v>50</v>
      </c>
      <c r="P167" t="s">
        <v>36</v>
      </c>
      <c r="Q167">
        <v>195</v>
      </c>
      <c r="R167">
        <v>80</v>
      </c>
      <c r="S167">
        <v>2</v>
      </c>
      <c r="T167" t="s">
        <v>36</v>
      </c>
      <c r="U167" t="s">
        <v>36</v>
      </c>
      <c r="V167" t="s">
        <v>36</v>
      </c>
      <c r="W167" t="s">
        <v>60</v>
      </c>
      <c r="X167">
        <v>2019</v>
      </c>
      <c r="Y167" t="s">
        <v>128</v>
      </c>
      <c r="Z167" t="s">
        <v>40</v>
      </c>
      <c r="AA167" t="s">
        <v>41</v>
      </c>
    </row>
    <row r="168" spans="1:27" x14ac:dyDescent="0.3">
      <c r="A168" t="s">
        <v>286</v>
      </c>
      <c r="B168" t="s">
        <v>28</v>
      </c>
      <c r="C168">
        <v>37</v>
      </c>
      <c r="D168" t="s">
        <v>44</v>
      </c>
      <c r="E168" t="s">
        <v>45</v>
      </c>
      <c r="F168" t="s">
        <v>46</v>
      </c>
      <c r="G168">
        <v>76505</v>
      </c>
      <c r="H168" s="1">
        <v>43621</v>
      </c>
      <c r="I168" t="s">
        <v>47</v>
      </c>
      <c r="J168" t="s">
        <v>99</v>
      </c>
      <c r="K168" t="s">
        <v>49</v>
      </c>
      <c r="L168">
        <v>12</v>
      </c>
      <c r="M168">
        <v>1</v>
      </c>
      <c r="N168">
        <v>1</v>
      </c>
      <c r="O168" t="s">
        <v>68</v>
      </c>
      <c r="P168" t="s">
        <v>37</v>
      </c>
      <c r="Q168">
        <v>227</v>
      </c>
      <c r="R168">
        <v>21</v>
      </c>
      <c r="S168">
        <v>12</v>
      </c>
      <c r="T168" t="s">
        <v>36</v>
      </c>
      <c r="U168" t="s">
        <v>36</v>
      </c>
      <c r="V168" t="s">
        <v>37</v>
      </c>
      <c r="W168" t="s">
        <v>38</v>
      </c>
      <c r="X168">
        <v>2019</v>
      </c>
      <c r="Y168" t="s">
        <v>61</v>
      </c>
      <c r="Z168" t="s">
        <v>62</v>
      </c>
      <c r="AA168" t="s">
        <v>52</v>
      </c>
    </row>
    <row r="169" spans="1:27" x14ac:dyDescent="0.3">
      <c r="A169" t="s">
        <v>287</v>
      </c>
      <c r="B169" t="s">
        <v>28</v>
      </c>
      <c r="C169">
        <v>45</v>
      </c>
      <c r="D169" t="s">
        <v>65</v>
      </c>
      <c r="E169" t="s">
        <v>120</v>
      </c>
      <c r="F169" t="s">
        <v>56</v>
      </c>
      <c r="G169">
        <v>32840</v>
      </c>
      <c r="H169" s="1">
        <v>43920</v>
      </c>
      <c r="I169" t="s">
        <v>107</v>
      </c>
      <c r="J169" t="s">
        <v>67</v>
      </c>
      <c r="K169" t="s">
        <v>49</v>
      </c>
      <c r="L169">
        <v>1</v>
      </c>
      <c r="M169">
        <v>5</v>
      </c>
      <c r="N169">
        <v>3</v>
      </c>
      <c r="O169" t="s">
        <v>68</v>
      </c>
      <c r="P169" t="s">
        <v>37</v>
      </c>
      <c r="Q169">
        <v>197</v>
      </c>
      <c r="R169">
        <v>25</v>
      </c>
      <c r="S169">
        <v>25</v>
      </c>
      <c r="T169" t="s">
        <v>36</v>
      </c>
      <c r="U169" t="s">
        <v>36</v>
      </c>
      <c r="V169" t="s">
        <v>36</v>
      </c>
      <c r="W169" t="s">
        <v>126</v>
      </c>
      <c r="X169">
        <v>2020</v>
      </c>
      <c r="Y169" t="s">
        <v>142</v>
      </c>
      <c r="Z169" t="s">
        <v>70</v>
      </c>
      <c r="AA169" t="s">
        <v>63</v>
      </c>
    </row>
    <row r="170" spans="1:27" x14ac:dyDescent="0.3">
      <c r="A170" t="s">
        <v>288</v>
      </c>
      <c r="B170" t="s">
        <v>43</v>
      </c>
      <c r="C170">
        <v>30</v>
      </c>
      <c r="D170" t="s">
        <v>85</v>
      </c>
      <c r="E170" t="s">
        <v>151</v>
      </c>
      <c r="F170" t="s">
        <v>31</v>
      </c>
      <c r="G170">
        <v>63808</v>
      </c>
      <c r="H170" s="1">
        <v>44184</v>
      </c>
      <c r="I170" t="s">
        <v>57</v>
      </c>
      <c r="J170" t="s">
        <v>118</v>
      </c>
      <c r="K170" t="s">
        <v>34</v>
      </c>
      <c r="L170">
        <v>6</v>
      </c>
      <c r="M170">
        <v>4</v>
      </c>
      <c r="N170">
        <v>3</v>
      </c>
      <c r="O170" t="s">
        <v>35</v>
      </c>
      <c r="P170" t="s">
        <v>36</v>
      </c>
      <c r="Q170">
        <v>238</v>
      </c>
      <c r="R170">
        <v>28</v>
      </c>
      <c r="S170">
        <v>21</v>
      </c>
      <c r="T170" t="s">
        <v>36</v>
      </c>
      <c r="U170" t="s">
        <v>36</v>
      </c>
      <c r="V170" t="s">
        <v>37</v>
      </c>
      <c r="W170" t="s">
        <v>38</v>
      </c>
      <c r="X170">
        <v>2020</v>
      </c>
      <c r="Y170" t="s">
        <v>116</v>
      </c>
      <c r="Z170" t="s">
        <v>75</v>
      </c>
      <c r="AA170" t="s">
        <v>52</v>
      </c>
    </row>
    <row r="171" spans="1:27" x14ac:dyDescent="0.3">
      <c r="A171" t="s">
        <v>289</v>
      </c>
      <c r="B171" t="s">
        <v>28</v>
      </c>
      <c r="C171">
        <v>26</v>
      </c>
      <c r="D171" t="s">
        <v>54</v>
      </c>
      <c r="E171" t="s">
        <v>55</v>
      </c>
      <c r="F171" t="s">
        <v>31</v>
      </c>
      <c r="G171">
        <v>52851</v>
      </c>
      <c r="H171" s="1">
        <v>43784</v>
      </c>
      <c r="I171" t="s">
        <v>107</v>
      </c>
      <c r="J171" t="s">
        <v>101</v>
      </c>
      <c r="K171" t="s">
        <v>58</v>
      </c>
      <c r="L171">
        <v>7</v>
      </c>
      <c r="M171">
        <v>2</v>
      </c>
      <c r="N171">
        <v>3</v>
      </c>
      <c r="O171" t="s">
        <v>50</v>
      </c>
      <c r="P171" t="s">
        <v>36</v>
      </c>
      <c r="Q171">
        <v>171</v>
      </c>
      <c r="R171">
        <v>31</v>
      </c>
      <c r="S171">
        <v>9</v>
      </c>
      <c r="T171" t="s">
        <v>36</v>
      </c>
      <c r="U171" t="s">
        <v>37</v>
      </c>
      <c r="V171" t="s">
        <v>36</v>
      </c>
      <c r="W171" t="s">
        <v>60</v>
      </c>
      <c r="X171">
        <v>2019</v>
      </c>
      <c r="Y171" t="s">
        <v>123</v>
      </c>
      <c r="Z171" t="s">
        <v>75</v>
      </c>
      <c r="AA171" t="s">
        <v>41</v>
      </c>
    </row>
    <row r="172" spans="1:27" x14ac:dyDescent="0.3">
      <c r="A172" t="s">
        <v>290</v>
      </c>
      <c r="B172" t="s">
        <v>43</v>
      </c>
      <c r="C172">
        <v>25</v>
      </c>
      <c r="D172" t="s">
        <v>81</v>
      </c>
      <c r="E172" t="s">
        <v>201</v>
      </c>
      <c r="F172" t="s">
        <v>56</v>
      </c>
      <c r="G172">
        <v>29577</v>
      </c>
      <c r="H172" s="1">
        <v>45260</v>
      </c>
      <c r="I172" t="s">
        <v>47</v>
      </c>
      <c r="J172" t="s">
        <v>48</v>
      </c>
      <c r="K172" t="s">
        <v>49</v>
      </c>
      <c r="L172">
        <v>3</v>
      </c>
      <c r="M172">
        <v>4</v>
      </c>
      <c r="N172">
        <v>2</v>
      </c>
      <c r="O172" t="s">
        <v>68</v>
      </c>
      <c r="P172" t="s">
        <v>36</v>
      </c>
      <c r="Q172">
        <v>213</v>
      </c>
      <c r="R172">
        <v>25</v>
      </c>
      <c r="S172">
        <v>16</v>
      </c>
      <c r="T172" t="s">
        <v>37</v>
      </c>
      <c r="U172" t="s">
        <v>36</v>
      </c>
      <c r="V172" t="s">
        <v>36</v>
      </c>
      <c r="W172" t="s">
        <v>60</v>
      </c>
      <c r="X172">
        <v>2023</v>
      </c>
      <c r="Y172" t="s">
        <v>123</v>
      </c>
      <c r="Z172" t="s">
        <v>104</v>
      </c>
      <c r="AA172" t="s">
        <v>63</v>
      </c>
    </row>
    <row r="173" spans="1:27" x14ac:dyDescent="0.3">
      <c r="A173" t="s">
        <v>291</v>
      </c>
      <c r="B173" t="s">
        <v>43</v>
      </c>
      <c r="C173">
        <v>26</v>
      </c>
      <c r="D173" t="s">
        <v>29</v>
      </c>
      <c r="E173" t="s">
        <v>30</v>
      </c>
      <c r="F173" t="s">
        <v>46</v>
      </c>
      <c r="G173">
        <v>71863</v>
      </c>
      <c r="H173" s="1">
        <v>44866</v>
      </c>
      <c r="I173" t="s">
        <v>57</v>
      </c>
      <c r="J173" t="s">
        <v>91</v>
      </c>
      <c r="K173" t="s">
        <v>34</v>
      </c>
      <c r="L173">
        <v>6</v>
      </c>
      <c r="M173">
        <v>2</v>
      </c>
      <c r="N173">
        <v>4</v>
      </c>
      <c r="O173" t="s">
        <v>59</v>
      </c>
      <c r="P173" t="s">
        <v>37</v>
      </c>
      <c r="Q173">
        <v>243</v>
      </c>
      <c r="R173">
        <v>8</v>
      </c>
      <c r="S173">
        <v>15</v>
      </c>
      <c r="T173" t="s">
        <v>36</v>
      </c>
      <c r="U173" t="s">
        <v>37</v>
      </c>
      <c r="V173" t="s">
        <v>36</v>
      </c>
      <c r="W173" t="s">
        <v>60</v>
      </c>
      <c r="X173">
        <v>2022</v>
      </c>
      <c r="Y173" t="s">
        <v>123</v>
      </c>
      <c r="Z173" t="s">
        <v>75</v>
      </c>
      <c r="AA173" t="s">
        <v>52</v>
      </c>
    </row>
    <row r="174" spans="1:27" x14ac:dyDescent="0.3">
      <c r="A174" t="s">
        <v>292</v>
      </c>
      <c r="B174" t="s">
        <v>43</v>
      </c>
      <c r="C174">
        <v>31</v>
      </c>
      <c r="D174" t="s">
        <v>85</v>
      </c>
      <c r="E174" t="s">
        <v>86</v>
      </c>
      <c r="F174" t="s">
        <v>56</v>
      </c>
      <c r="G174">
        <v>38849</v>
      </c>
      <c r="H174" s="1">
        <v>44244</v>
      </c>
      <c r="I174" t="s">
        <v>107</v>
      </c>
      <c r="J174" t="s">
        <v>33</v>
      </c>
      <c r="K174" t="s">
        <v>58</v>
      </c>
      <c r="L174">
        <v>1</v>
      </c>
      <c r="M174">
        <v>4</v>
      </c>
      <c r="N174">
        <v>5</v>
      </c>
      <c r="O174" t="s">
        <v>35</v>
      </c>
      <c r="P174" t="s">
        <v>36</v>
      </c>
      <c r="Q174">
        <v>243</v>
      </c>
      <c r="R174">
        <v>55</v>
      </c>
      <c r="S174">
        <v>20</v>
      </c>
      <c r="T174" t="s">
        <v>36</v>
      </c>
      <c r="U174" t="s">
        <v>36</v>
      </c>
      <c r="V174" t="s">
        <v>36</v>
      </c>
      <c r="W174" t="s">
        <v>126</v>
      </c>
      <c r="X174">
        <v>2021</v>
      </c>
      <c r="Y174" t="s">
        <v>39</v>
      </c>
      <c r="Z174" t="s">
        <v>40</v>
      </c>
      <c r="AA174" t="s">
        <v>63</v>
      </c>
    </row>
    <row r="175" spans="1:27" x14ac:dyDescent="0.3">
      <c r="A175" t="s">
        <v>293</v>
      </c>
      <c r="B175" t="s">
        <v>28</v>
      </c>
      <c r="C175">
        <v>34</v>
      </c>
      <c r="D175" t="s">
        <v>29</v>
      </c>
      <c r="E175" t="s">
        <v>30</v>
      </c>
      <c r="F175" t="s">
        <v>56</v>
      </c>
      <c r="G175">
        <v>42011</v>
      </c>
      <c r="H175" s="1">
        <v>44672</v>
      </c>
      <c r="I175" t="s">
        <v>107</v>
      </c>
      <c r="J175" t="s">
        <v>48</v>
      </c>
      <c r="K175" t="s">
        <v>49</v>
      </c>
      <c r="L175">
        <v>0</v>
      </c>
      <c r="M175">
        <v>5</v>
      </c>
      <c r="N175">
        <v>4</v>
      </c>
      <c r="O175" t="s">
        <v>35</v>
      </c>
      <c r="P175" t="s">
        <v>37</v>
      </c>
      <c r="Q175">
        <v>162</v>
      </c>
      <c r="R175">
        <v>44</v>
      </c>
      <c r="S175">
        <v>27</v>
      </c>
      <c r="T175" t="s">
        <v>36</v>
      </c>
      <c r="U175" t="s">
        <v>37</v>
      </c>
      <c r="V175" t="s">
        <v>36</v>
      </c>
      <c r="W175" t="s">
        <v>126</v>
      </c>
      <c r="X175">
        <v>2022</v>
      </c>
      <c r="Y175" t="s">
        <v>69</v>
      </c>
      <c r="Z175" t="s">
        <v>40</v>
      </c>
      <c r="AA175" t="s">
        <v>41</v>
      </c>
    </row>
    <row r="176" spans="1:27" x14ac:dyDescent="0.3">
      <c r="A176" t="s">
        <v>294</v>
      </c>
      <c r="B176" t="s">
        <v>43</v>
      </c>
      <c r="C176">
        <v>33</v>
      </c>
      <c r="D176" t="s">
        <v>81</v>
      </c>
      <c r="E176" t="s">
        <v>201</v>
      </c>
      <c r="F176" t="s">
        <v>96</v>
      </c>
      <c r="G176">
        <v>114232</v>
      </c>
      <c r="H176" s="1">
        <v>45028</v>
      </c>
      <c r="I176" t="s">
        <v>107</v>
      </c>
      <c r="J176" t="s">
        <v>33</v>
      </c>
      <c r="K176" t="s">
        <v>49</v>
      </c>
      <c r="L176">
        <v>13</v>
      </c>
      <c r="M176">
        <v>3</v>
      </c>
      <c r="N176">
        <v>2</v>
      </c>
      <c r="O176" t="s">
        <v>35</v>
      </c>
      <c r="P176" t="s">
        <v>36</v>
      </c>
      <c r="Q176">
        <v>155</v>
      </c>
      <c r="R176">
        <v>24</v>
      </c>
      <c r="S176">
        <v>26</v>
      </c>
      <c r="T176" t="s">
        <v>36</v>
      </c>
      <c r="U176" t="s">
        <v>36</v>
      </c>
      <c r="V176" t="s">
        <v>36</v>
      </c>
      <c r="W176" t="s">
        <v>60</v>
      </c>
      <c r="X176">
        <v>2023</v>
      </c>
      <c r="Y176" t="s">
        <v>69</v>
      </c>
      <c r="Z176" t="s">
        <v>40</v>
      </c>
      <c r="AA176" t="s">
        <v>87</v>
      </c>
    </row>
    <row r="177" spans="1:27" x14ac:dyDescent="0.3">
      <c r="A177" t="s">
        <v>295</v>
      </c>
      <c r="B177" t="s">
        <v>28</v>
      </c>
      <c r="C177">
        <v>37</v>
      </c>
      <c r="D177" t="s">
        <v>65</v>
      </c>
      <c r="E177" t="s">
        <v>72</v>
      </c>
      <c r="F177" t="s">
        <v>31</v>
      </c>
      <c r="G177">
        <v>60140</v>
      </c>
      <c r="H177" s="1">
        <v>45051</v>
      </c>
      <c r="I177" t="s">
        <v>32</v>
      </c>
      <c r="J177" t="s">
        <v>101</v>
      </c>
      <c r="K177" t="s">
        <v>49</v>
      </c>
      <c r="L177">
        <v>2</v>
      </c>
      <c r="M177">
        <v>5</v>
      </c>
      <c r="N177">
        <v>4</v>
      </c>
      <c r="O177" t="s">
        <v>35</v>
      </c>
      <c r="P177" t="s">
        <v>36</v>
      </c>
      <c r="Q177">
        <v>237</v>
      </c>
      <c r="R177">
        <v>55</v>
      </c>
      <c r="S177">
        <v>30</v>
      </c>
      <c r="T177" t="s">
        <v>36</v>
      </c>
      <c r="U177" t="s">
        <v>36</v>
      </c>
      <c r="V177" t="s">
        <v>36</v>
      </c>
      <c r="W177" t="s">
        <v>60</v>
      </c>
      <c r="X177">
        <v>2023</v>
      </c>
      <c r="Y177" t="s">
        <v>74</v>
      </c>
      <c r="Z177" t="s">
        <v>62</v>
      </c>
      <c r="AA177" t="s">
        <v>52</v>
      </c>
    </row>
    <row r="178" spans="1:27" x14ac:dyDescent="0.3">
      <c r="A178" t="s">
        <v>296</v>
      </c>
      <c r="B178" t="s">
        <v>28</v>
      </c>
      <c r="C178">
        <v>32</v>
      </c>
      <c r="D178" t="s">
        <v>54</v>
      </c>
      <c r="E178" t="s">
        <v>55</v>
      </c>
      <c r="F178" t="s">
        <v>31</v>
      </c>
      <c r="G178">
        <v>47477</v>
      </c>
      <c r="H178" s="1">
        <v>44255</v>
      </c>
      <c r="I178" t="s">
        <v>32</v>
      </c>
      <c r="J178" t="s">
        <v>67</v>
      </c>
      <c r="K178" t="s">
        <v>49</v>
      </c>
      <c r="L178">
        <v>3</v>
      </c>
      <c r="M178">
        <v>2</v>
      </c>
      <c r="N178">
        <v>1</v>
      </c>
      <c r="O178" t="s">
        <v>35</v>
      </c>
      <c r="P178" t="s">
        <v>36</v>
      </c>
      <c r="Q178">
        <v>160</v>
      </c>
      <c r="R178">
        <v>16</v>
      </c>
      <c r="S178">
        <v>14</v>
      </c>
      <c r="T178" t="s">
        <v>36</v>
      </c>
      <c r="U178" t="s">
        <v>36</v>
      </c>
      <c r="V178" t="s">
        <v>36</v>
      </c>
      <c r="W178" t="s">
        <v>126</v>
      </c>
      <c r="X178">
        <v>2021</v>
      </c>
      <c r="Y178" t="s">
        <v>39</v>
      </c>
      <c r="Z178" t="s">
        <v>40</v>
      </c>
      <c r="AA178" t="s">
        <v>41</v>
      </c>
    </row>
    <row r="179" spans="1:27" x14ac:dyDescent="0.3">
      <c r="A179" t="s">
        <v>297</v>
      </c>
      <c r="B179" t="s">
        <v>43</v>
      </c>
      <c r="C179">
        <v>42</v>
      </c>
      <c r="D179" t="s">
        <v>81</v>
      </c>
      <c r="E179" t="s">
        <v>165</v>
      </c>
      <c r="F179" t="s">
        <v>56</v>
      </c>
      <c r="G179">
        <v>41749</v>
      </c>
      <c r="H179" s="1">
        <v>45163</v>
      </c>
      <c r="I179" t="s">
        <v>98</v>
      </c>
      <c r="J179" t="s">
        <v>48</v>
      </c>
      <c r="K179" t="s">
        <v>49</v>
      </c>
      <c r="L179">
        <v>0</v>
      </c>
      <c r="M179">
        <v>2</v>
      </c>
      <c r="N179">
        <v>2</v>
      </c>
      <c r="O179" t="s">
        <v>50</v>
      </c>
      <c r="P179" t="s">
        <v>36</v>
      </c>
      <c r="Q179">
        <v>225</v>
      </c>
      <c r="R179">
        <v>57</v>
      </c>
      <c r="S179">
        <v>10</v>
      </c>
      <c r="T179" t="s">
        <v>36</v>
      </c>
      <c r="U179" t="s">
        <v>37</v>
      </c>
      <c r="V179" t="s">
        <v>36</v>
      </c>
      <c r="W179" t="s">
        <v>126</v>
      </c>
      <c r="X179">
        <v>2023</v>
      </c>
      <c r="Y179" t="s">
        <v>128</v>
      </c>
      <c r="Z179" t="s">
        <v>70</v>
      </c>
      <c r="AA179" t="s">
        <v>41</v>
      </c>
    </row>
    <row r="180" spans="1:27" x14ac:dyDescent="0.3">
      <c r="A180" t="s">
        <v>298</v>
      </c>
      <c r="B180" t="s">
        <v>43</v>
      </c>
      <c r="C180">
        <v>30</v>
      </c>
      <c r="D180" t="s">
        <v>29</v>
      </c>
      <c r="E180" t="s">
        <v>93</v>
      </c>
      <c r="F180" t="s">
        <v>46</v>
      </c>
      <c r="G180">
        <v>91409</v>
      </c>
      <c r="H180" s="1">
        <v>45998</v>
      </c>
      <c r="I180" t="s">
        <v>57</v>
      </c>
      <c r="J180" t="s">
        <v>101</v>
      </c>
      <c r="K180" t="s">
        <v>49</v>
      </c>
      <c r="L180">
        <v>7</v>
      </c>
      <c r="M180">
        <v>5</v>
      </c>
      <c r="N180">
        <v>4</v>
      </c>
      <c r="O180" t="s">
        <v>50</v>
      </c>
      <c r="P180" t="s">
        <v>37</v>
      </c>
      <c r="Q180">
        <v>200</v>
      </c>
      <c r="R180">
        <v>7</v>
      </c>
      <c r="S180">
        <v>12</v>
      </c>
      <c r="T180" t="s">
        <v>36</v>
      </c>
      <c r="U180" t="s">
        <v>36</v>
      </c>
      <c r="V180" t="s">
        <v>36</v>
      </c>
      <c r="W180" t="s">
        <v>60</v>
      </c>
      <c r="X180">
        <v>2025</v>
      </c>
      <c r="Y180" t="s">
        <v>116</v>
      </c>
      <c r="Z180" t="s">
        <v>75</v>
      </c>
      <c r="AA180" t="s">
        <v>87</v>
      </c>
    </row>
    <row r="181" spans="1:27" x14ac:dyDescent="0.3">
      <c r="A181" t="s">
        <v>299</v>
      </c>
      <c r="B181" t="s">
        <v>43</v>
      </c>
      <c r="C181">
        <v>51</v>
      </c>
      <c r="D181" t="s">
        <v>89</v>
      </c>
      <c r="E181" t="s">
        <v>203</v>
      </c>
      <c r="F181" t="s">
        <v>31</v>
      </c>
      <c r="G181">
        <v>46403</v>
      </c>
      <c r="H181" s="1">
        <v>45280</v>
      </c>
      <c r="I181" t="s">
        <v>32</v>
      </c>
      <c r="J181" t="s">
        <v>118</v>
      </c>
      <c r="K181" t="s">
        <v>34</v>
      </c>
      <c r="L181">
        <v>4</v>
      </c>
      <c r="M181">
        <v>3</v>
      </c>
      <c r="N181">
        <v>3</v>
      </c>
      <c r="O181" t="s">
        <v>59</v>
      </c>
      <c r="P181" t="s">
        <v>36</v>
      </c>
      <c r="Q181">
        <v>203</v>
      </c>
      <c r="R181">
        <v>71</v>
      </c>
      <c r="S181">
        <v>29</v>
      </c>
      <c r="T181" t="s">
        <v>36</v>
      </c>
      <c r="U181" t="s">
        <v>37</v>
      </c>
      <c r="V181" t="s">
        <v>36</v>
      </c>
      <c r="W181" t="s">
        <v>60</v>
      </c>
      <c r="X181">
        <v>2023</v>
      </c>
      <c r="Y181" t="s">
        <v>116</v>
      </c>
      <c r="Z181" t="s">
        <v>300</v>
      </c>
      <c r="AA181" t="s">
        <v>41</v>
      </c>
    </row>
    <row r="182" spans="1:27" x14ac:dyDescent="0.3">
      <c r="A182" t="s">
        <v>301</v>
      </c>
      <c r="B182" t="s">
        <v>28</v>
      </c>
      <c r="C182">
        <v>36</v>
      </c>
      <c r="D182" t="s">
        <v>54</v>
      </c>
      <c r="E182" t="s">
        <v>207</v>
      </c>
      <c r="F182" t="s">
        <v>96</v>
      </c>
      <c r="G182">
        <v>107779</v>
      </c>
      <c r="H182" s="1">
        <v>45613</v>
      </c>
      <c r="I182" t="s">
        <v>32</v>
      </c>
      <c r="J182" t="s">
        <v>99</v>
      </c>
      <c r="K182" t="s">
        <v>49</v>
      </c>
      <c r="L182">
        <v>20</v>
      </c>
      <c r="M182">
        <v>5</v>
      </c>
      <c r="N182">
        <v>1</v>
      </c>
      <c r="O182" t="s">
        <v>35</v>
      </c>
      <c r="P182" t="s">
        <v>37</v>
      </c>
      <c r="Q182">
        <v>174</v>
      </c>
      <c r="R182">
        <v>51</v>
      </c>
      <c r="S182">
        <v>24</v>
      </c>
      <c r="T182" t="s">
        <v>37</v>
      </c>
      <c r="U182" t="s">
        <v>36</v>
      </c>
      <c r="V182" t="s">
        <v>36</v>
      </c>
      <c r="W182" t="s">
        <v>60</v>
      </c>
      <c r="X182">
        <v>2024</v>
      </c>
      <c r="Y182" t="s">
        <v>123</v>
      </c>
      <c r="Z182" t="s">
        <v>62</v>
      </c>
      <c r="AA182" t="s">
        <v>87</v>
      </c>
    </row>
    <row r="183" spans="1:27" x14ac:dyDescent="0.3">
      <c r="A183" t="s">
        <v>302</v>
      </c>
      <c r="B183" t="s">
        <v>43</v>
      </c>
      <c r="C183">
        <v>25</v>
      </c>
      <c r="D183" t="s">
        <v>89</v>
      </c>
      <c r="E183" t="s">
        <v>130</v>
      </c>
      <c r="F183" t="s">
        <v>56</v>
      </c>
      <c r="G183">
        <v>29001</v>
      </c>
      <c r="H183" s="1">
        <v>44991</v>
      </c>
      <c r="I183" t="s">
        <v>107</v>
      </c>
      <c r="J183" t="s">
        <v>91</v>
      </c>
      <c r="K183" t="s">
        <v>58</v>
      </c>
      <c r="L183">
        <v>1</v>
      </c>
      <c r="M183">
        <v>4</v>
      </c>
      <c r="N183">
        <v>5</v>
      </c>
      <c r="O183" t="s">
        <v>50</v>
      </c>
      <c r="P183" t="s">
        <v>36</v>
      </c>
      <c r="Q183">
        <v>172</v>
      </c>
      <c r="R183">
        <v>16</v>
      </c>
      <c r="S183">
        <v>11</v>
      </c>
      <c r="T183" t="s">
        <v>37</v>
      </c>
      <c r="U183" t="s">
        <v>36</v>
      </c>
      <c r="V183" t="s">
        <v>36</v>
      </c>
      <c r="W183" t="s">
        <v>126</v>
      </c>
      <c r="X183">
        <v>2023</v>
      </c>
      <c r="Y183" t="s">
        <v>142</v>
      </c>
      <c r="Z183" t="s">
        <v>104</v>
      </c>
      <c r="AA183" t="s">
        <v>63</v>
      </c>
    </row>
    <row r="184" spans="1:27" x14ac:dyDescent="0.3">
      <c r="A184" t="s">
        <v>303</v>
      </c>
      <c r="B184" t="s">
        <v>28</v>
      </c>
      <c r="C184">
        <v>24</v>
      </c>
      <c r="D184" t="s">
        <v>85</v>
      </c>
      <c r="E184" t="s">
        <v>168</v>
      </c>
      <c r="F184" t="s">
        <v>31</v>
      </c>
      <c r="G184">
        <v>63213</v>
      </c>
      <c r="H184" s="1">
        <v>46241</v>
      </c>
      <c r="I184" t="s">
        <v>57</v>
      </c>
      <c r="J184" t="s">
        <v>101</v>
      </c>
      <c r="K184" t="s">
        <v>58</v>
      </c>
      <c r="L184">
        <v>3</v>
      </c>
      <c r="M184">
        <v>2</v>
      </c>
      <c r="N184">
        <v>3</v>
      </c>
      <c r="O184" t="s">
        <v>68</v>
      </c>
      <c r="P184" t="s">
        <v>36</v>
      </c>
      <c r="Q184">
        <v>202</v>
      </c>
      <c r="R184">
        <v>6</v>
      </c>
      <c r="S184">
        <v>9</v>
      </c>
      <c r="T184" t="s">
        <v>36</v>
      </c>
      <c r="U184" t="s">
        <v>37</v>
      </c>
      <c r="V184" t="s">
        <v>36</v>
      </c>
      <c r="W184" t="s">
        <v>60</v>
      </c>
      <c r="X184">
        <v>2026</v>
      </c>
      <c r="Y184" t="s">
        <v>128</v>
      </c>
      <c r="Z184" t="s">
        <v>104</v>
      </c>
      <c r="AA184" t="s">
        <v>52</v>
      </c>
    </row>
    <row r="185" spans="1:27" x14ac:dyDescent="0.3">
      <c r="A185" t="s">
        <v>304</v>
      </c>
      <c r="B185" t="s">
        <v>43</v>
      </c>
      <c r="C185">
        <v>35</v>
      </c>
      <c r="D185" t="s">
        <v>77</v>
      </c>
      <c r="E185" t="s">
        <v>133</v>
      </c>
      <c r="F185" t="s">
        <v>46</v>
      </c>
      <c r="G185">
        <v>95080</v>
      </c>
      <c r="H185" s="1">
        <v>44359</v>
      </c>
      <c r="I185" t="s">
        <v>57</v>
      </c>
      <c r="J185" t="s">
        <v>91</v>
      </c>
      <c r="K185" t="s">
        <v>34</v>
      </c>
      <c r="L185">
        <v>9</v>
      </c>
      <c r="M185">
        <v>4</v>
      </c>
      <c r="N185">
        <v>3</v>
      </c>
      <c r="O185" t="s">
        <v>50</v>
      </c>
      <c r="P185" t="s">
        <v>36</v>
      </c>
      <c r="Q185">
        <v>216</v>
      </c>
      <c r="R185">
        <v>43</v>
      </c>
      <c r="S185">
        <v>23</v>
      </c>
      <c r="T185" t="s">
        <v>37</v>
      </c>
      <c r="U185" t="s">
        <v>36</v>
      </c>
      <c r="V185" t="s">
        <v>36</v>
      </c>
      <c r="W185" t="s">
        <v>126</v>
      </c>
      <c r="X185">
        <v>2021</v>
      </c>
      <c r="Y185" t="s">
        <v>61</v>
      </c>
      <c r="Z185" t="s">
        <v>40</v>
      </c>
      <c r="AA185" t="s">
        <v>87</v>
      </c>
    </row>
    <row r="186" spans="1:27" x14ac:dyDescent="0.3">
      <c r="A186" t="s">
        <v>305</v>
      </c>
      <c r="B186" t="s">
        <v>28</v>
      </c>
      <c r="C186">
        <v>30</v>
      </c>
      <c r="D186" t="s">
        <v>65</v>
      </c>
      <c r="E186" t="s">
        <v>66</v>
      </c>
      <c r="F186" t="s">
        <v>46</v>
      </c>
      <c r="G186">
        <v>83145</v>
      </c>
      <c r="H186" s="1">
        <v>46153</v>
      </c>
      <c r="I186" t="s">
        <v>98</v>
      </c>
      <c r="J186" t="s">
        <v>118</v>
      </c>
      <c r="K186" t="s">
        <v>34</v>
      </c>
      <c r="L186">
        <v>9</v>
      </c>
      <c r="M186">
        <v>3</v>
      </c>
      <c r="N186">
        <v>2</v>
      </c>
      <c r="O186" t="s">
        <v>50</v>
      </c>
      <c r="P186" t="s">
        <v>37</v>
      </c>
      <c r="Q186">
        <v>216</v>
      </c>
      <c r="R186">
        <v>22</v>
      </c>
      <c r="S186">
        <v>25</v>
      </c>
      <c r="T186" t="s">
        <v>37</v>
      </c>
      <c r="U186" t="s">
        <v>36</v>
      </c>
      <c r="V186" t="s">
        <v>36</v>
      </c>
      <c r="W186" t="s">
        <v>126</v>
      </c>
      <c r="X186">
        <v>2026</v>
      </c>
      <c r="Y186" t="s">
        <v>74</v>
      </c>
      <c r="Z186" t="s">
        <v>75</v>
      </c>
      <c r="AA186" t="s">
        <v>52</v>
      </c>
    </row>
    <row r="187" spans="1:27" x14ac:dyDescent="0.3">
      <c r="A187" t="s">
        <v>306</v>
      </c>
      <c r="B187" t="s">
        <v>43</v>
      </c>
      <c r="C187">
        <v>36</v>
      </c>
      <c r="D187" t="s">
        <v>81</v>
      </c>
      <c r="E187" t="s">
        <v>165</v>
      </c>
      <c r="F187" t="s">
        <v>96</v>
      </c>
      <c r="G187">
        <v>140891</v>
      </c>
      <c r="H187" s="1">
        <v>43610</v>
      </c>
      <c r="I187" t="s">
        <v>47</v>
      </c>
      <c r="J187" t="s">
        <v>91</v>
      </c>
      <c r="K187" t="s">
        <v>34</v>
      </c>
      <c r="L187">
        <v>19</v>
      </c>
      <c r="M187">
        <v>5</v>
      </c>
      <c r="N187">
        <v>5</v>
      </c>
      <c r="O187" t="s">
        <v>50</v>
      </c>
      <c r="P187" t="s">
        <v>37</v>
      </c>
      <c r="Q187">
        <v>193</v>
      </c>
      <c r="R187">
        <v>26</v>
      </c>
      <c r="S187">
        <v>28</v>
      </c>
      <c r="T187" t="s">
        <v>36</v>
      </c>
      <c r="U187" t="s">
        <v>36</v>
      </c>
      <c r="V187" t="s">
        <v>36</v>
      </c>
      <c r="W187" t="s">
        <v>60</v>
      </c>
      <c r="X187">
        <v>2019</v>
      </c>
      <c r="Y187" t="s">
        <v>74</v>
      </c>
      <c r="Z187" t="s">
        <v>62</v>
      </c>
      <c r="AA187" t="s">
        <v>105</v>
      </c>
    </row>
    <row r="188" spans="1:27" x14ac:dyDescent="0.3">
      <c r="A188" t="s">
        <v>307</v>
      </c>
      <c r="B188" t="s">
        <v>43</v>
      </c>
      <c r="C188">
        <v>35</v>
      </c>
      <c r="D188" t="s">
        <v>54</v>
      </c>
      <c r="E188" t="s">
        <v>55</v>
      </c>
      <c r="F188" t="s">
        <v>31</v>
      </c>
      <c r="G188">
        <v>66278</v>
      </c>
      <c r="H188" s="1">
        <v>45755</v>
      </c>
      <c r="I188" t="s">
        <v>107</v>
      </c>
      <c r="J188" t="s">
        <v>118</v>
      </c>
      <c r="K188" t="s">
        <v>49</v>
      </c>
      <c r="L188">
        <v>4</v>
      </c>
      <c r="M188">
        <v>2</v>
      </c>
      <c r="N188">
        <v>3</v>
      </c>
      <c r="O188" t="s">
        <v>50</v>
      </c>
      <c r="P188" t="s">
        <v>36</v>
      </c>
      <c r="Q188">
        <v>161</v>
      </c>
      <c r="R188">
        <v>38</v>
      </c>
      <c r="S188">
        <v>20</v>
      </c>
      <c r="T188" t="s">
        <v>36</v>
      </c>
      <c r="U188" t="s">
        <v>36</v>
      </c>
      <c r="V188" t="s">
        <v>36</v>
      </c>
      <c r="W188" t="s">
        <v>126</v>
      </c>
      <c r="X188">
        <v>2025</v>
      </c>
      <c r="Y188" t="s">
        <v>69</v>
      </c>
      <c r="Z188" t="s">
        <v>40</v>
      </c>
      <c r="AA188" t="s">
        <v>52</v>
      </c>
    </row>
    <row r="189" spans="1:27" x14ac:dyDescent="0.3">
      <c r="A189" t="s">
        <v>308</v>
      </c>
      <c r="B189" t="s">
        <v>28</v>
      </c>
      <c r="C189">
        <v>31</v>
      </c>
      <c r="D189" t="s">
        <v>89</v>
      </c>
      <c r="E189" t="s">
        <v>203</v>
      </c>
      <c r="F189" t="s">
        <v>56</v>
      </c>
      <c r="G189">
        <v>43473</v>
      </c>
      <c r="H189" s="1">
        <v>45515</v>
      </c>
      <c r="I189" t="s">
        <v>32</v>
      </c>
      <c r="J189" t="s">
        <v>73</v>
      </c>
      <c r="K189" t="s">
        <v>58</v>
      </c>
      <c r="L189">
        <v>1</v>
      </c>
      <c r="M189">
        <v>1</v>
      </c>
      <c r="N189">
        <v>4</v>
      </c>
      <c r="O189" t="s">
        <v>50</v>
      </c>
      <c r="P189" t="s">
        <v>36</v>
      </c>
      <c r="Q189">
        <v>188</v>
      </c>
      <c r="R189">
        <v>57</v>
      </c>
      <c r="S189">
        <v>20</v>
      </c>
      <c r="T189" t="s">
        <v>36</v>
      </c>
      <c r="U189" t="s">
        <v>36</v>
      </c>
      <c r="V189" t="s">
        <v>37</v>
      </c>
      <c r="W189" t="s">
        <v>38</v>
      </c>
      <c r="X189">
        <v>2024</v>
      </c>
      <c r="Y189" t="s">
        <v>128</v>
      </c>
      <c r="Z189" t="s">
        <v>40</v>
      </c>
      <c r="AA189" t="s">
        <v>41</v>
      </c>
    </row>
    <row r="190" spans="1:27" x14ac:dyDescent="0.3">
      <c r="A190" t="s">
        <v>309</v>
      </c>
      <c r="B190" t="s">
        <v>28</v>
      </c>
      <c r="C190">
        <v>26</v>
      </c>
      <c r="D190" t="s">
        <v>65</v>
      </c>
      <c r="E190" t="s">
        <v>147</v>
      </c>
      <c r="F190" t="s">
        <v>56</v>
      </c>
      <c r="G190">
        <v>43977</v>
      </c>
      <c r="H190" s="1">
        <v>46050</v>
      </c>
      <c r="I190" t="s">
        <v>32</v>
      </c>
      <c r="J190" t="s">
        <v>73</v>
      </c>
      <c r="K190" t="s">
        <v>34</v>
      </c>
      <c r="L190">
        <v>2</v>
      </c>
      <c r="M190">
        <v>2</v>
      </c>
      <c r="N190">
        <v>3</v>
      </c>
      <c r="O190" t="s">
        <v>68</v>
      </c>
      <c r="P190" t="s">
        <v>36</v>
      </c>
      <c r="Q190">
        <v>157</v>
      </c>
      <c r="R190">
        <v>67</v>
      </c>
      <c r="S190">
        <v>27</v>
      </c>
      <c r="T190" t="s">
        <v>37</v>
      </c>
      <c r="U190" t="s">
        <v>37</v>
      </c>
      <c r="V190" t="s">
        <v>36</v>
      </c>
      <c r="W190" t="s">
        <v>60</v>
      </c>
      <c r="X190">
        <v>2026</v>
      </c>
      <c r="Y190" t="s">
        <v>94</v>
      </c>
      <c r="Z190" t="s">
        <v>75</v>
      </c>
      <c r="AA190" t="s">
        <v>41</v>
      </c>
    </row>
    <row r="191" spans="1:27" x14ac:dyDescent="0.3">
      <c r="A191" t="s">
        <v>310</v>
      </c>
      <c r="B191" t="s">
        <v>43</v>
      </c>
      <c r="C191">
        <v>21</v>
      </c>
      <c r="D191" t="s">
        <v>77</v>
      </c>
      <c r="E191" t="s">
        <v>133</v>
      </c>
      <c r="F191" t="s">
        <v>96</v>
      </c>
      <c r="G191">
        <v>152573</v>
      </c>
      <c r="H191" s="1">
        <v>43485</v>
      </c>
      <c r="I191" t="s">
        <v>107</v>
      </c>
      <c r="J191" t="s">
        <v>33</v>
      </c>
      <c r="K191" t="s">
        <v>58</v>
      </c>
      <c r="L191">
        <v>14</v>
      </c>
      <c r="M191">
        <v>1</v>
      </c>
      <c r="N191">
        <v>5</v>
      </c>
      <c r="O191" t="s">
        <v>35</v>
      </c>
      <c r="P191" t="s">
        <v>37</v>
      </c>
      <c r="Q191">
        <v>243</v>
      </c>
      <c r="R191">
        <v>36</v>
      </c>
      <c r="S191">
        <v>9</v>
      </c>
      <c r="T191" t="s">
        <v>36</v>
      </c>
      <c r="U191" t="s">
        <v>36</v>
      </c>
      <c r="V191" t="s">
        <v>36</v>
      </c>
      <c r="W191" t="s">
        <v>60</v>
      </c>
      <c r="X191">
        <v>2019</v>
      </c>
      <c r="Y191" t="s">
        <v>94</v>
      </c>
      <c r="Z191" t="s">
        <v>104</v>
      </c>
      <c r="AA191" t="s">
        <v>105</v>
      </c>
    </row>
    <row r="192" spans="1:27" x14ac:dyDescent="0.3">
      <c r="A192" t="s">
        <v>311</v>
      </c>
      <c r="B192" t="s">
        <v>43</v>
      </c>
      <c r="C192">
        <v>28</v>
      </c>
      <c r="D192" t="s">
        <v>85</v>
      </c>
      <c r="E192" t="s">
        <v>86</v>
      </c>
      <c r="F192" t="s">
        <v>96</v>
      </c>
      <c r="G192">
        <v>155973</v>
      </c>
      <c r="H192" s="1">
        <v>44719</v>
      </c>
      <c r="I192" t="s">
        <v>98</v>
      </c>
      <c r="J192" t="s">
        <v>91</v>
      </c>
      <c r="K192" t="s">
        <v>49</v>
      </c>
      <c r="L192">
        <v>17</v>
      </c>
      <c r="M192">
        <v>2</v>
      </c>
      <c r="N192">
        <v>1</v>
      </c>
      <c r="O192" t="s">
        <v>68</v>
      </c>
      <c r="P192" t="s">
        <v>37</v>
      </c>
      <c r="Q192">
        <v>188</v>
      </c>
      <c r="R192">
        <v>48</v>
      </c>
      <c r="S192">
        <v>30</v>
      </c>
      <c r="T192" t="s">
        <v>36</v>
      </c>
      <c r="U192" t="s">
        <v>36</v>
      </c>
      <c r="V192" t="s">
        <v>36</v>
      </c>
      <c r="W192" t="s">
        <v>60</v>
      </c>
      <c r="X192">
        <v>2022</v>
      </c>
      <c r="Y192" t="s">
        <v>61</v>
      </c>
      <c r="Z192" t="s">
        <v>75</v>
      </c>
      <c r="AA192" t="s">
        <v>105</v>
      </c>
    </row>
    <row r="193" spans="1:27" x14ac:dyDescent="0.3">
      <c r="A193" t="s">
        <v>312</v>
      </c>
      <c r="B193" t="s">
        <v>28</v>
      </c>
      <c r="C193">
        <v>37</v>
      </c>
      <c r="D193" t="s">
        <v>85</v>
      </c>
      <c r="E193" t="s">
        <v>159</v>
      </c>
      <c r="F193" t="s">
        <v>56</v>
      </c>
      <c r="G193">
        <v>35484</v>
      </c>
      <c r="H193" s="1">
        <v>44003</v>
      </c>
      <c r="I193" t="s">
        <v>57</v>
      </c>
      <c r="J193" t="s">
        <v>118</v>
      </c>
      <c r="K193" t="s">
        <v>34</v>
      </c>
      <c r="L193">
        <v>1</v>
      </c>
      <c r="M193">
        <v>2</v>
      </c>
      <c r="N193">
        <v>1</v>
      </c>
      <c r="O193" t="s">
        <v>50</v>
      </c>
      <c r="P193" t="s">
        <v>36</v>
      </c>
      <c r="Q193">
        <v>214</v>
      </c>
      <c r="R193">
        <v>73</v>
      </c>
      <c r="S193">
        <v>21</v>
      </c>
      <c r="T193" t="s">
        <v>37</v>
      </c>
      <c r="U193" t="s">
        <v>36</v>
      </c>
      <c r="V193" t="s">
        <v>37</v>
      </c>
      <c r="W193" t="s">
        <v>38</v>
      </c>
      <c r="X193">
        <v>2020</v>
      </c>
      <c r="Y193" t="s">
        <v>61</v>
      </c>
      <c r="Z193" t="s">
        <v>62</v>
      </c>
      <c r="AA193" t="s">
        <v>63</v>
      </c>
    </row>
    <row r="194" spans="1:27" x14ac:dyDescent="0.3">
      <c r="A194" t="s">
        <v>313</v>
      </c>
      <c r="B194" t="s">
        <v>28</v>
      </c>
      <c r="C194">
        <v>33</v>
      </c>
      <c r="D194" t="s">
        <v>54</v>
      </c>
      <c r="E194" t="s">
        <v>153</v>
      </c>
      <c r="F194" t="s">
        <v>56</v>
      </c>
      <c r="G194">
        <v>31794</v>
      </c>
      <c r="H194" s="1">
        <v>45285</v>
      </c>
      <c r="I194" t="s">
        <v>32</v>
      </c>
      <c r="J194" t="s">
        <v>99</v>
      </c>
      <c r="K194" t="s">
        <v>49</v>
      </c>
      <c r="L194">
        <v>3</v>
      </c>
      <c r="M194">
        <v>4</v>
      </c>
      <c r="N194">
        <v>1</v>
      </c>
      <c r="O194" t="s">
        <v>59</v>
      </c>
      <c r="P194" t="s">
        <v>36</v>
      </c>
      <c r="Q194">
        <v>182</v>
      </c>
      <c r="R194">
        <v>17</v>
      </c>
      <c r="S194">
        <v>23</v>
      </c>
      <c r="T194" t="s">
        <v>36</v>
      </c>
      <c r="U194" t="s">
        <v>36</v>
      </c>
      <c r="V194" t="s">
        <v>36</v>
      </c>
      <c r="W194" t="s">
        <v>60</v>
      </c>
      <c r="X194">
        <v>2023</v>
      </c>
      <c r="Y194" t="s">
        <v>116</v>
      </c>
      <c r="Z194" t="s">
        <v>40</v>
      </c>
      <c r="AA194" t="s">
        <v>63</v>
      </c>
    </row>
    <row r="195" spans="1:27" x14ac:dyDescent="0.3">
      <c r="A195" t="s">
        <v>314</v>
      </c>
      <c r="B195" t="s">
        <v>28</v>
      </c>
      <c r="C195">
        <v>23</v>
      </c>
      <c r="D195" t="s">
        <v>77</v>
      </c>
      <c r="E195" t="s">
        <v>182</v>
      </c>
      <c r="F195" t="s">
        <v>56</v>
      </c>
      <c r="G195">
        <v>37263</v>
      </c>
      <c r="H195" s="1">
        <v>43901</v>
      </c>
      <c r="I195" t="s">
        <v>32</v>
      </c>
      <c r="J195" t="s">
        <v>91</v>
      </c>
      <c r="K195" t="s">
        <v>34</v>
      </c>
      <c r="L195">
        <v>0</v>
      </c>
      <c r="M195">
        <v>4</v>
      </c>
      <c r="N195">
        <v>2</v>
      </c>
      <c r="O195" t="s">
        <v>59</v>
      </c>
      <c r="P195" t="s">
        <v>36</v>
      </c>
      <c r="Q195">
        <v>175</v>
      </c>
      <c r="R195">
        <v>42</v>
      </c>
      <c r="S195">
        <v>7</v>
      </c>
      <c r="T195" t="s">
        <v>37</v>
      </c>
      <c r="U195" t="s">
        <v>36</v>
      </c>
      <c r="V195" t="s">
        <v>36</v>
      </c>
      <c r="W195" t="s">
        <v>126</v>
      </c>
      <c r="X195">
        <v>2020</v>
      </c>
      <c r="Y195" t="s">
        <v>142</v>
      </c>
      <c r="Z195" t="s">
        <v>104</v>
      </c>
      <c r="AA195" t="s">
        <v>63</v>
      </c>
    </row>
    <row r="196" spans="1:27" x14ac:dyDescent="0.3">
      <c r="A196" t="s">
        <v>315</v>
      </c>
      <c r="B196" t="s">
        <v>28</v>
      </c>
      <c r="C196">
        <v>33</v>
      </c>
      <c r="D196" t="s">
        <v>89</v>
      </c>
      <c r="E196" t="s">
        <v>144</v>
      </c>
      <c r="F196" t="s">
        <v>31</v>
      </c>
      <c r="G196">
        <v>42089</v>
      </c>
      <c r="H196" s="1">
        <v>46217</v>
      </c>
      <c r="I196" t="s">
        <v>57</v>
      </c>
      <c r="J196" t="s">
        <v>48</v>
      </c>
      <c r="K196" t="s">
        <v>34</v>
      </c>
      <c r="L196">
        <v>2</v>
      </c>
      <c r="M196">
        <v>1</v>
      </c>
      <c r="N196">
        <v>1</v>
      </c>
      <c r="O196" t="s">
        <v>35</v>
      </c>
      <c r="P196" t="s">
        <v>36</v>
      </c>
      <c r="Q196">
        <v>235</v>
      </c>
      <c r="R196">
        <v>37</v>
      </c>
      <c r="S196">
        <v>22</v>
      </c>
      <c r="T196" t="s">
        <v>37</v>
      </c>
      <c r="U196" t="s">
        <v>36</v>
      </c>
      <c r="V196" t="s">
        <v>37</v>
      </c>
      <c r="W196" t="s">
        <v>38</v>
      </c>
      <c r="X196">
        <v>2026</v>
      </c>
      <c r="Y196" t="s">
        <v>79</v>
      </c>
      <c r="Z196" t="s">
        <v>40</v>
      </c>
      <c r="AA196" t="s">
        <v>41</v>
      </c>
    </row>
    <row r="197" spans="1:27" x14ac:dyDescent="0.3">
      <c r="A197" t="s">
        <v>316</v>
      </c>
      <c r="B197" t="s">
        <v>43</v>
      </c>
      <c r="C197">
        <v>34</v>
      </c>
      <c r="D197" t="s">
        <v>81</v>
      </c>
      <c r="E197" t="s">
        <v>82</v>
      </c>
      <c r="F197" t="s">
        <v>96</v>
      </c>
      <c r="G197">
        <v>96564</v>
      </c>
      <c r="H197" s="1">
        <v>44181</v>
      </c>
      <c r="I197" t="s">
        <v>57</v>
      </c>
      <c r="J197" t="s">
        <v>48</v>
      </c>
      <c r="K197" t="s">
        <v>58</v>
      </c>
      <c r="L197">
        <v>9</v>
      </c>
      <c r="M197">
        <v>1</v>
      </c>
      <c r="N197">
        <v>3</v>
      </c>
      <c r="O197" t="s">
        <v>35</v>
      </c>
      <c r="P197" t="s">
        <v>36</v>
      </c>
      <c r="Q197">
        <v>252</v>
      </c>
      <c r="R197">
        <v>22</v>
      </c>
      <c r="S197">
        <v>23</v>
      </c>
      <c r="T197" t="s">
        <v>36</v>
      </c>
      <c r="U197" t="s">
        <v>36</v>
      </c>
      <c r="V197" t="s">
        <v>36</v>
      </c>
      <c r="W197" t="s">
        <v>60</v>
      </c>
      <c r="X197">
        <v>2020</v>
      </c>
      <c r="Y197" t="s">
        <v>116</v>
      </c>
      <c r="Z197" t="s">
        <v>40</v>
      </c>
      <c r="AA197" t="s">
        <v>87</v>
      </c>
    </row>
    <row r="198" spans="1:27" x14ac:dyDescent="0.3">
      <c r="A198" t="s">
        <v>317</v>
      </c>
      <c r="B198" t="s">
        <v>43</v>
      </c>
      <c r="C198">
        <v>25</v>
      </c>
      <c r="D198" t="s">
        <v>65</v>
      </c>
      <c r="E198" t="s">
        <v>72</v>
      </c>
      <c r="F198" t="s">
        <v>46</v>
      </c>
      <c r="G198">
        <v>71091</v>
      </c>
      <c r="H198" s="1">
        <v>44869</v>
      </c>
      <c r="I198" t="s">
        <v>47</v>
      </c>
      <c r="J198" t="s">
        <v>101</v>
      </c>
      <c r="K198" t="s">
        <v>49</v>
      </c>
      <c r="L198">
        <v>10</v>
      </c>
      <c r="M198">
        <v>2</v>
      </c>
      <c r="N198">
        <v>1</v>
      </c>
      <c r="O198" t="s">
        <v>68</v>
      </c>
      <c r="P198" t="s">
        <v>36</v>
      </c>
      <c r="Q198">
        <v>201</v>
      </c>
      <c r="R198">
        <v>19</v>
      </c>
      <c r="S198">
        <v>6</v>
      </c>
      <c r="T198" t="s">
        <v>36</v>
      </c>
      <c r="U198" t="s">
        <v>36</v>
      </c>
      <c r="V198" t="s">
        <v>36</v>
      </c>
      <c r="W198" t="s">
        <v>60</v>
      </c>
      <c r="X198">
        <v>2022</v>
      </c>
      <c r="Y198" t="s">
        <v>123</v>
      </c>
      <c r="Z198" t="s">
        <v>104</v>
      </c>
      <c r="AA198" t="s">
        <v>52</v>
      </c>
    </row>
    <row r="199" spans="1:27" x14ac:dyDescent="0.3">
      <c r="A199" t="s">
        <v>318</v>
      </c>
      <c r="B199" t="s">
        <v>28</v>
      </c>
      <c r="C199">
        <v>33</v>
      </c>
      <c r="D199" t="s">
        <v>54</v>
      </c>
      <c r="E199" t="s">
        <v>55</v>
      </c>
      <c r="F199" t="s">
        <v>96</v>
      </c>
      <c r="G199">
        <v>147430</v>
      </c>
      <c r="H199" s="1">
        <v>45969</v>
      </c>
      <c r="I199" t="s">
        <v>47</v>
      </c>
      <c r="J199" t="s">
        <v>48</v>
      </c>
      <c r="K199" t="s">
        <v>49</v>
      </c>
      <c r="L199">
        <v>10</v>
      </c>
      <c r="M199">
        <v>4</v>
      </c>
      <c r="N199">
        <v>3</v>
      </c>
      <c r="O199" t="s">
        <v>59</v>
      </c>
      <c r="P199" t="s">
        <v>36</v>
      </c>
      <c r="Q199">
        <v>153</v>
      </c>
      <c r="R199">
        <v>10</v>
      </c>
      <c r="S199">
        <v>4</v>
      </c>
      <c r="T199" t="s">
        <v>36</v>
      </c>
      <c r="U199" t="s">
        <v>36</v>
      </c>
      <c r="V199" t="s">
        <v>36</v>
      </c>
      <c r="W199" t="s">
        <v>60</v>
      </c>
      <c r="X199">
        <v>2025</v>
      </c>
      <c r="Y199" t="s">
        <v>123</v>
      </c>
      <c r="Z199" t="s">
        <v>40</v>
      </c>
      <c r="AA199" t="s">
        <v>105</v>
      </c>
    </row>
    <row r="200" spans="1:27" x14ac:dyDescent="0.3">
      <c r="A200" t="s">
        <v>319</v>
      </c>
      <c r="B200" t="s">
        <v>28</v>
      </c>
      <c r="C200">
        <v>32</v>
      </c>
      <c r="D200" t="s">
        <v>44</v>
      </c>
      <c r="E200" t="s">
        <v>109</v>
      </c>
      <c r="F200" t="s">
        <v>56</v>
      </c>
      <c r="G200">
        <v>42183</v>
      </c>
      <c r="H200" s="1">
        <v>45439</v>
      </c>
      <c r="I200" t="s">
        <v>32</v>
      </c>
      <c r="J200" t="s">
        <v>101</v>
      </c>
      <c r="K200" t="s">
        <v>49</v>
      </c>
      <c r="L200">
        <v>1</v>
      </c>
      <c r="M200">
        <v>3</v>
      </c>
      <c r="N200">
        <v>4</v>
      </c>
      <c r="O200" t="s">
        <v>68</v>
      </c>
      <c r="P200" t="s">
        <v>37</v>
      </c>
      <c r="Q200">
        <v>257</v>
      </c>
      <c r="R200">
        <v>14</v>
      </c>
      <c r="S200">
        <v>26</v>
      </c>
      <c r="T200" t="s">
        <v>36</v>
      </c>
      <c r="U200" t="s">
        <v>37</v>
      </c>
      <c r="V200" t="s">
        <v>37</v>
      </c>
      <c r="W200" t="s">
        <v>38</v>
      </c>
      <c r="X200">
        <v>2024</v>
      </c>
      <c r="Y200" t="s">
        <v>74</v>
      </c>
      <c r="Z200" t="s">
        <v>40</v>
      </c>
      <c r="AA200" t="s">
        <v>41</v>
      </c>
    </row>
    <row r="201" spans="1:27" x14ac:dyDescent="0.3">
      <c r="A201" t="s">
        <v>320</v>
      </c>
      <c r="B201" t="s">
        <v>43</v>
      </c>
      <c r="C201">
        <v>23</v>
      </c>
      <c r="D201" t="s">
        <v>44</v>
      </c>
      <c r="E201" t="s">
        <v>109</v>
      </c>
      <c r="F201" t="s">
        <v>46</v>
      </c>
      <c r="G201">
        <v>68299</v>
      </c>
      <c r="H201" s="1">
        <v>44378</v>
      </c>
      <c r="I201" t="s">
        <v>47</v>
      </c>
      <c r="J201" t="s">
        <v>101</v>
      </c>
      <c r="K201" t="s">
        <v>58</v>
      </c>
      <c r="L201">
        <v>13</v>
      </c>
      <c r="M201">
        <v>5</v>
      </c>
      <c r="N201">
        <v>4</v>
      </c>
      <c r="O201" t="s">
        <v>59</v>
      </c>
      <c r="P201" t="s">
        <v>36</v>
      </c>
      <c r="Q201">
        <v>254</v>
      </c>
      <c r="R201">
        <v>62</v>
      </c>
      <c r="S201">
        <v>12</v>
      </c>
      <c r="T201" t="s">
        <v>37</v>
      </c>
      <c r="U201" t="s">
        <v>36</v>
      </c>
      <c r="V201" t="s">
        <v>37</v>
      </c>
      <c r="W201" t="s">
        <v>38</v>
      </c>
      <c r="X201">
        <v>2021</v>
      </c>
      <c r="Y201" t="s">
        <v>79</v>
      </c>
      <c r="Z201" t="s">
        <v>104</v>
      </c>
      <c r="AA201" t="s">
        <v>52</v>
      </c>
    </row>
    <row r="202" spans="1:27" x14ac:dyDescent="0.3">
      <c r="A202" t="s">
        <v>321</v>
      </c>
      <c r="B202" t="s">
        <v>43</v>
      </c>
      <c r="C202">
        <v>34</v>
      </c>
      <c r="D202" t="s">
        <v>29</v>
      </c>
      <c r="E202" t="s">
        <v>103</v>
      </c>
      <c r="F202" t="s">
        <v>96</v>
      </c>
      <c r="G202">
        <v>144046</v>
      </c>
      <c r="H202" s="1">
        <v>45748</v>
      </c>
      <c r="I202" t="s">
        <v>98</v>
      </c>
      <c r="J202" t="s">
        <v>33</v>
      </c>
      <c r="K202" t="s">
        <v>34</v>
      </c>
      <c r="L202">
        <v>8</v>
      </c>
      <c r="M202">
        <v>5</v>
      </c>
      <c r="N202">
        <v>1</v>
      </c>
      <c r="O202" t="s">
        <v>59</v>
      </c>
      <c r="P202" t="s">
        <v>37</v>
      </c>
      <c r="Q202">
        <v>251</v>
      </c>
      <c r="R202">
        <v>48</v>
      </c>
      <c r="S202">
        <v>13</v>
      </c>
      <c r="T202" t="s">
        <v>37</v>
      </c>
      <c r="U202" t="s">
        <v>36</v>
      </c>
      <c r="V202" t="s">
        <v>36</v>
      </c>
      <c r="W202" t="s">
        <v>60</v>
      </c>
      <c r="X202">
        <v>2025</v>
      </c>
      <c r="Y202" t="s">
        <v>69</v>
      </c>
      <c r="Z202" t="s">
        <v>40</v>
      </c>
      <c r="AA202" t="s">
        <v>105</v>
      </c>
    </row>
    <row r="203" spans="1:27" x14ac:dyDescent="0.3">
      <c r="A203" t="s">
        <v>322</v>
      </c>
      <c r="B203" t="s">
        <v>43</v>
      </c>
      <c r="C203">
        <v>35</v>
      </c>
      <c r="D203" t="s">
        <v>65</v>
      </c>
      <c r="E203" t="s">
        <v>72</v>
      </c>
      <c r="F203" t="s">
        <v>46</v>
      </c>
      <c r="G203">
        <v>94657</v>
      </c>
      <c r="H203" s="1">
        <v>43865</v>
      </c>
      <c r="I203" t="s">
        <v>107</v>
      </c>
      <c r="J203" t="s">
        <v>48</v>
      </c>
      <c r="K203" t="s">
        <v>58</v>
      </c>
      <c r="L203">
        <v>6</v>
      </c>
      <c r="M203">
        <v>2</v>
      </c>
      <c r="N203">
        <v>1</v>
      </c>
      <c r="O203" t="s">
        <v>68</v>
      </c>
      <c r="P203" t="s">
        <v>36</v>
      </c>
      <c r="Q203">
        <v>195</v>
      </c>
      <c r="R203">
        <v>68</v>
      </c>
      <c r="S203">
        <v>6</v>
      </c>
      <c r="T203" t="s">
        <v>36</v>
      </c>
      <c r="U203" t="s">
        <v>36</v>
      </c>
      <c r="V203" t="s">
        <v>36</v>
      </c>
      <c r="W203" t="s">
        <v>126</v>
      </c>
      <c r="X203">
        <v>2020</v>
      </c>
      <c r="Y203" t="s">
        <v>39</v>
      </c>
      <c r="Z203" t="s">
        <v>40</v>
      </c>
      <c r="AA203" t="s">
        <v>87</v>
      </c>
    </row>
    <row r="204" spans="1:27" x14ac:dyDescent="0.3">
      <c r="A204" t="s">
        <v>323</v>
      </c>
      <c r="B204" t="s">
        <v>28</v>
      </c>
      <c r="C204">
        <v>39</v>
      </c>
      <c r="D204" t="s">
        <v>81</v>
      </c>
      <c r="E204" t="s">
        <v>113</v>
      </c>
      <c r="F204" t="s">
        <v>31</v>
      </c>
      <c r="G204">
        <v>45956</v>
      </c>
      <c r="H204" s="1">
        <v>44349</v>
      </c>
      <c r="I204" t="s">
        <v>57</v>
      </c>
      <c r="J204" t="s">
        <v>48</v>
      </c>
      <c r="K204" t="s">
        <v>49</v>
      </c>
      <c r="L204">
        <v>5</v>
      </c>
      <c r="M204">
        <v>4</v>
      </c>
      <c r="N204">
        <v>2</v>
      </c>
      <c r="O204" t="s">
        <v>59</v>
      </c>
      <c r="P204" t="s">
        <v>36</v>
      </c>
      <c r="Q204">
        <v>193</v>
      </c>
      <c r="R204">
        <v>80</v>
      </c>
      <c r="S204">
        <v>18</v>
      </c>
      <c r="T204" t="s">
        <v>37</v>
      </c>
      <c r="U204" t="s">
        <v>37</v>
      </c>
      <c r="V204" t="s">
        <v>36</v>
      </c>
      <c r="W204" t="s">
        <v>126</v>
      </c>
      <c r="X204">
        <v>2021</v>
      </c>
      <c r="Y204" t="s">
        <v>61</v>
      </c>
      <c r="Z204" t="s">
        <v>62</v>
      </c>
      <c r="AA204" t="s">
        <v>41</v>
      </c>
    </row>
    <row r="205" spans="1:27" x14ac:dyDescent="0.3">
      <c r="A205" t="s">
        <v>324</v>
      </c>
      <c r="B205" t="s">
        <v>28</v>
      </c>
      <c r="C205">
        <v>39</v>
      </c>
      <c r="D205" t="s">
        <v>29</v>
      </c>
      <c r="E205" t="s">
        <v>122</v>
      </c>
      <c r="F205" t="s">
        <v>96</v>
      </c>
      <c r="G205">
        <v>156628</v>
      </c>
      <c r="H205" s="1">
        <v>44191</v>
      </c>
      <c r="I205" t="s">
        <v>98</v>
      </c>
      <c r="J205" t="s">
        <v>91</v>
      </c>
      <c r="K205" t="s">
        <v>34</v>
      </c>
      <c r="L205">
        <v>20</v>
      </c>
      <c r="M205">
        <v>5</v>
      </c>
      <c r="N205">
        <v>2</v>
      </c>
      <c r="O205" t="s">
        <v>59</v>
      </c>
      <c r="P205" t="s">
        <v>36</v>
      </c>
      <c r="Q205">
        <v>254</v>
      </c>
      <c r="R205">
        <v>58</v>
      </c>
      <c r="S205">
        <v>21</v>
      </c>
      <c r="T205" t="s">
        <v>36</v>
      </c>
      <c r="U205" t="s">
        <v>36</v>
      </c>
      <c r="V205" t="s">
        <v>37</v>
      </c>
      <c r="W205" t="s">
        <v>38</v>
      </c>
      <c r="X205">
        <v>2020</v>
      </c>
      <c r="Y205" t="s">
        <v>116</v>
      </c>
      <c r="Z205" t="s">
        <v>62</v>
      </c>
      <c r="AA205" t="s">
        <v>105</v>
      </c>
    </row>
    <row r="206" spans="1:27" x14ac:dyDescent="0.3">
      <c r="A206" t="s">
        <v>325</v>
      </c>
      <c r="B206" t="s">
        <v>28</v>
      </c>
      <c r="C206">
        <v>22</v>
      </c>
      <c r="D206" t="s">
        <v>81</v>
      </c>
      <c r="E206" t="s">
        <v>165</v>
      </c>
      <c r="F206" t="s">
        <v>46</v>
      </c>
      <c r="G206">
        <v>84278</v>
      </c>
      <c r="H206" s="1">
        <v>44012</v>
      </c>
      <c r="I206" t="s">
        <v>98</v>
      </c>
      <c r="J206" t="s">
        <v>91</v>
      </c>
      <c r="K206" t="s">
        <v>34</v>
      </c>
      <c r="L206">
        <v>12</v>
      </c>
      <c r="M206">
        <v>2</v>
      </c>
      <c r="N206">
        <v>4</v>
      </c>
      <c r="O206" t="s">
        <v>68</v>
      </c>
      <c r="P206" t="s">
        <v>36</v>
      </c>
      <c r="Q206">
        <v>239</v>
      </c>
      <c r="R206">
        <v>30</v>
      </c>
      <c r="S206">
        <v>8</v>
      </c>
      <c r="T206" t="s">
        <v>36</v>
      </c>
      <c r="U206" t="s">
        <v>36</v>
      </c>
      <c r="V206" t="s">
        <v>36</v>
      </c>
      <c r="W206" t="s">
        <v>60</v>
      </c>
      <c r="X206">
        <v>2020</v>
      </c>
      <c r="Y206" t="s">
        <v>61</v>
      </c>
      <c r="Z206" t="s">
        <v>104</v>
      </c>
      <c r="AA206" t="s">
        <v>52</v>
      </c>
    </row>
    <row r="207" spans="1:27" x14ac:dyDescent="0.3">
      <c r="A207" t="s">
        <v>326</v>
      </c>
      <c r="B207" t="s">
        <v>43</v>
      </c>
      <c r="C207">
        <v>25</v>
      </c>
      <c r="D207" t="s">
        <v>85</v>
      </c>
      <c r="E207" t="s">
        <v>168</v>
      </c>
      <c r="F207" t="s">
        <v>46</v>
      </c>
      <c r="G207">
        <v>72563</v>
      </c>
      <c r="H207" s="1">
        <v>45769</v>
      </c>
      <c r="I207" t="s">
        <v>98</v>
      </c>
      <c r="J207" t="s">
        <v>67</v>
      </c>
      <c r="K207" t="s">
        <v>49</v>
      </c>
      <c r="L207">
        <v>10</v>
      </c>
      <c r="M207">
        <v>4</v>
      </c>
      <c r="N207">
        <v>5</v>
      </c>
      <c r="O207" t="s">
        <v>35</v>
      </c>
      <c r="P207" t="s">
        <v>36</v>
      </c>
      <c r="Q207">
        <v>235</v>
      </c>
      <c r="R207">
        <v>71</v>
      </c>
      <c r="S207">
        <v>5</v>
      </c>
      <c r="T207" t="s">
        <v>37</v>
      </c>
      <c r="U207" t="s">
        <v>36</v>
      </c>
      <c r="V207" t="s">
        <v>36</v>
      </c>
      <c r="W207" t="s">
        <v>126</v>
      </c>
      <c r="X207">
        <v>2025</v>
      </c>
      <c r="Y207" t="s">
        <v>69</v>
      </c>
      <c r="Z207" t="s">
        <v>104</v>
      </c>
      <c r="AA207" t="s">
        <v>52</v>
      </c>
    </row>
    <row r="208" spans="1:27" x14ac:dyDescent="0.3">
      <c r="A208" t="s">
        <v>327</v>
      </c>
      <c r="B208" t="s">
        <v>28</v>
      </c>
      <c r="C208">
        <v>35</v>
      </c>
      <c r="D208" t="s">
        <v>29</v>
      </c>
      <c r="E208" t="s">
        <v>103</v>
      </c>
      <c r="F208" t="s">
        <v>31</v>
      </c>
      <c r="G208">
        <v>50748</v>
      </c>
      <c r="H208" s="1">
        <v>44639</v>
      </c>
      <c r="I208" t="s">
        <v>98</v>
      </c>
      <c r="J208" t="s">
        <v>99</v>
      </c>
      <c r="K208" t="s">
        <v>49</v>
      </c>
      <c r="L208">
        <v>3</v>
      </c>
      <c r="M208">
        <v>3</v>
      </c>
      <c r="N208">
        <v>2</v>
      </c>
      <c r="O208" t="s">
        <v>59</v>
      </c>
      <c r="P208" t="s">
        <v>37</v>
      </c>
      <c r="Q208">
        <v>238</v>
      </c>
      <c r="R208">
        <v>18</v>
      </c>
      <c r="S208">
        <v>21</v>
      </c>
      <c r="T208" t="s">
        <v>36</v>
      </c>
      <c r="U208" t="s">
        <v>36</v>
      </c>
      <c r="V208" t="s">
        <v>37</v>
      </c>
      <c r="W208" t="s">
        <v>38</v>
      </c>
      <c r="X208">
        <v>2022</v>
      </c>
      <c r="Y208" t="s">
        <v>142</v>
      </c>
      <c r="Z208" t="s">
        <v>40</v>
      </c>
      <c r="AA208" t="s">
        <v>41</v>
      </c>
    </row>
    <row r="209" spans="1:27" x14ac:dyDescent="0.3">
      <c r="A209" t="s">
        <v>328</v>
      </c>
      <c r="B209" t="s">
        <v>28</v>
      </c>
      <c r="C209">
        <v>35</v>
      </c>
      <c r="D209" t="s">
        <v>77</v>
      </c>
      <c r="E209" t="s">
        <v>138</v>
      </c>
      <c r="F209" t="s">
        <v>46</v>
      </c>
      <c r="G209">
        <v>108548</v>
      </c>
      <c r="H209" s="1">
        <v>45028</v>
      </c>
      <c r="I209" t="s">
        <v>107</v>
      </c>
      <c r="J209" t="s">
        <v>33</v>
      </c>
      <c r="K209" t="s">
        <v>34</v>
      </c>
      <c r="L209">
        <v>5</v>
      </c>
      <c r="M209">
        <v>4</v>
      </c>
      <c r="N209">
        <v>4</v>
      </c>
      <c r="O209" t="s">
        <v>59</v>
      </c>
      <c r="P209" t="s">
        <v>36</v>
      </c>
      <c r="Q209">
        <v>190</v>
      </c>
      <c r="R209">
        <v>33</v>
      </c>
      <c r="S209">
        <v>22</v>
      </c>
      <c r="T209" t="s">
        <v>36</v>
      </c>
      <c r="U209" t="s">
        <v>37</v>
      </c>
      <c r="V209" t="s">
        <v>37</v>
      </c>
      <c r="W209" t="s">
        <v>38</v>
      </c>
      <c r="X209">
        <v>2023</v>
      </c>
      <c r="Y209" t="s">
        <v>69</v>
      </c>
      <c r="Z209" t="s">
        <v>40</v>
      </c>
      <c r="AA209" t="s">
        <v>87</v>
      </c>
    </row>
    <row r="210" spans="1:27" x14ac:dyDescent="0.3">
      <c r="A210" t="s">
        <v>329</v>
      </c>
      <c r="B210" t="s">
        <v>43</v>
      </c>
      <c r="C210">
        <v>35</v>
      </c>
      <c r="D210" t="s">
        <v>44</v>
      </c>
      <c r="E210" t="s">
        <v>115</v>
      </c>
      <c r="F210" t="s">
        <v>46</v>
      </c>
      <c r="G210">
        <v>94413</v>
      </c>
      <c r="H210" s="1">
        <v>43771</v>
      </c>
      <c r="I210" t="s">
        <v>47</v>
      </c>
      <c r="J210" t="s">
        <v>67</v>
      </c>
      <c r="K210" t="s">
        <v>34</v>
      </c>
      <c r="L210">
        <v>7</v>
      </c>
      <c r="M210">
        <v>2</v>
      </c>
      <c r="N210">
        <v>2</v>
      </c>
      <c r="O210" t="s">
        <v>50</v>
      </c>
      <c r="P210" t="s">
        <v>36</v>
      </c>
      <c r="Q210">
        <v>215</v>
      </c>
      <c r="R210">
        <v>21</v>
      </c>
      <c r="S210">
        <v>7</v>
      </c>
      <c r="T210" t="s">
        <v>36</v>
      </c>
      <c r="U210" t="s">
        <v>37</v>
      </c>
      <c r="V210" t="s">
        <v>36</v>
      </c>
      <c r="W210" t="s">
        <v>60</v>
      </c>
      <c r="X210">
        <v>2019</v>
      </c>
      <c r="Y210" t="s">
        <v>123</v>
      </c>
      <c r="Z210" t="s">
        <v>40</v>
      </c>
      <c r="AA210" t="s">
        <v>87</v>
      </c>
    </row>
    <row r="211" spans="1:27" x14ac:dyDescent="0.3">
      <c r="A211" t="s">
        <v>330</v>
      </c>
      <c r="B211" t="s">
        <v>28</v>
      </c>
      <c r="C211">
        <v>58</v>
      </c>
      <c r="D211" t="s">
        <v>65</v>
      </c>
      <c r="E211" t="s">
        <v>72</v>
      </c>
      <c r="F211" t="s">
        <v>31</v>
      </c>
      <c r="G211">
        <v>43308</v>
      </c>
      <c r="H211" s="1">
        <v>44787</v>
      </c>
      <c r="I211" t="s">
        <v>98</v>
      </c>
      <c r="J211" t="s">
        <v>91</v>
      </c>
      <c r="K211" t="s">
        <v>58</v>
      </c>
      <c r="L211">
        <v>3</v>
      </c>
      <c r="M211">
        <v>5</v>
      </c>
      <c r="N211">
        <v>1</v>
      </c>
      <c r="O211" t="s">
        <v>50</v>
      </c>
      <c r="P211" t="s">
        <v>36</v>
      </c>
      <c r="Q211">
        <v>228</v>
      </c>
      <c r="R211">
        <v>72</v>
      </c>
      <c r="S211">
        <v>9</v>
      </c>
      <c r="T211" t="s">
        <v>37</v>
      </c>
      <c r="U211" t="s">
        <v>36</v>
      </c>
      <c r="V211" t="s">
        <v>36</v>
      </c>
      <c r="W211" t="s">
        <v>60</v>
      </c>
      <c r="X211">
        <v>2022</v>
      </c>
      <c r="Y211" t="s">
        <v>128</v>
      </c>
      <c r="Z211" t="s">
        <v>300</v>
      </c>
      <c r="AA211" t="s">
        <v>41</v>
      </c>
    </row>
    <row r="212" spans="1:27" x14ac:dyDescent="0.3">
      <c r="A212" t="s">
        <v>331</v>
      </c>
      <c r="B212" t="s">
        <v>28</v>
      </c>
      <c r="C212">
        <v>35</v>
      </c>
      <c r="D212" t="s">
        <v>77</v>
      </c>
      <c r="E212" t="s">
        <v>133</v>
      </c>
      <c r="F212" t="s">
        <v>56</v>
      </c>
      <c r="G212">
        <v>39449</v>
      </c>
      <c r="H212" s="1">
        <v>44339</v>
      </c>
      <c r="I212" t="s">
        <v>98</v>
      </c>
      <c r="J212" t="s">
        <v>101</v>
      </c>
      <c r="K212" t="s">
        <v>34</v>
      </c>
      <c r="L212">
        <v>1</v>
      </c>
      <c r="M212">
        <v>3</v>
      </c>
      <c r="N212">
        <v>3</v>
      </c>
      <c r="O212" t="s">
        <v>35</v>
      </c>
      <c r="P212" t="s">
        <v>36</v>
      </c>
      <c r="Q212">
        <v>187</v>
      </c>
      <c r="R212">
        <v>19</v>
      </c>
      <c r="S212">
        <v>23</v>
      </c>
      <c r="T212" t="s">
        <v>36</v>
      </c>
      <c r="U212" t="s">
        <v>36</v>
      </c>
      <c r="V212" t="s">
        <v>36</v>
      </c>
      <c r="W212" t="s">
        <v>126</v>
      </c>
      <c r="X212">
        <v>2021</v>
      </c>
      <c r="Y212" t="s">
        <v>74</v>
      </c>
      <c r="Z212" t="s">
        <v>40</v>
      </c>
      <c r="AA212" t="s">
        <v>63</v>
      </c>
    </row>
    <row r="213" spans="1:27" x14ac:dyDescent="0.3">
      <c r="A213" t="s">
        <v>332</v>
      </c>
      <c r="B213" t="s">
        <v>28</v>
      </c>
      <c r="C213">
        <v>39</v>
      </c>
      <c r="D213" t="s">
        <v>44</v>
      </c>
      <c r="E213" t="s">
        <v>219</v>
      </c>
      <c r="F213" t="s">
        <v>46</v>
      </c>
      <c r="G213">
        <v>89993</v>
      </c>
      <c r="H213" s="1">
        <v>45046</v>
      </c>
      <c r="I213" t="s">
        <v>107</v>
      </c>
      <c r="J213" t="s">
        <v>101</v>
      </c>
      <c r="K213" t="s">
        <v>49</v>
      </c>
      <c r="L213">
        <v>6</v>
      </c>
      <c r="M213">
        <v>3</v>
      </c>
      <c r="N213">
        <v>5</v>
      </c>
      <c r="O213" t="s">
        <v>35</v>
      </c>
      <c r="P213" t="s">
        <v>36</v>
      </c>
      <c r="Q213">
        <v>186</v>
      </c>
      <c r="R213">
        <v>42</v>
      </c>
      <c r="S213">
        <v>30</v>
      </c>
      <c r="T213" t="s">
        <v>36</v>
      </c>
      <c r="U213" t="s">
        <v>37</v>
      </c>
      <c r="V213" t="s">
        <v>36</v>
      </c>
      <c r="W213" t="s">
        <v>60</v>
      </c>
      <c r="X213">
        <v>2023</v>
      </c>
      <c r="Y213" t="s">
        <v>69</v>
      </c>
      <c r="Z213" t="s">
        <v>62</v>
      </c>
      <c r="AA213" t="s">
        <v>52</v>
      </c>
    </row>
    <row r="214" spans="1:27" x14ac:dyDescent="0.3">
      <c r="A214" t="s">
        <v>333</v>
      </c>
      <c r="B214" t="s">
        <v>43</v>
      </c>
      <c r="C214">
        <v>38</v>
      </c>
      <c r="D214" t="s">
        <v>54</v>
      </c>
      <c r="E214" t="s">
        <v>153</v>
      </c>
      <c r="F214" t="s">
        <v>31</v>
      </c>
      <c r="G214">
        <v>67340</v>
      </c>
      <c r="H214" s="1">
        <v>45650</v>
      </c>
      <c r="I214" t="s">
        <v>47</v>
      </c>
      <c r="J214" t="s">
        <v>48</v>
      </c>
      <c r="K214" t="s">
        <v>58</v>
      </c>
      <c r="L214">
        <v>6</v>
      </c>
      <c r="M214">
        <v>1</v>
      </c>
      <c r="N214">
        <v>1</v>
      </c>
      <c r="O214" t="s">
        <v>59</v>
      </c>
      <c r="P214" t="s">
        <v>37</v>
      </c>
      <c r="Q214">
        <v>235</v>
      </c>
      <c r="R214">
        <v>14</v>
      </c>
      <c r="S214">
        <v>25</v>
      </c>
      <c r="T214" t="s">
        <v>36</v>
      </c>
      <c r="U214" t="s">
        <v>36</v>
      </c>
      <c r="V214" t="s">
        <v>36</v>
      </c>
      <c r="W214" t="s">
        <v>60</v>
      </c>
      <c r="X214">
        <v>2024</v>
      </c>
      <c r="Y214" t="s">
        <v>116</v>
      </c>
      <c r="Z214" t="s">
        <v>62</v>
      </c>
      <c r="AA214" t="s">
        <v>52</v>
      </c>
    </row>
    <row r="215" spans="1:27" x14ac:dyDescent="0.3">
      <c r="A215" t="s">
        <v>334</v>
      </c>
      <c r="B215" t="s">
        <v>28</v>
      </c>
      <c r="C215">
        <v>36</v>
      </c>
      <c r="D215" t="s">
        <v>89</v>
      </c>
      <c r="E215" t="s">
        <v>144</v>
      </c>
      <c r="F215" t="s">
        <v>56</v>
      </c>
      <c r="G215">
        <v>30867</v>
      </c>
      <c r="H215" s="1">
        <v>43688</v>
      </c>
      <c r="I215" t="s">
        <v>47</v>
      </c>
      <c r="J215" t="s">
        <v>118</v>
      </c>
      <c r="K215" t="s">
        <v>49</v>
      </c>
      <c r="L215">
        <v>0</v>
      </c>
      <c r="M215">
        <v>2</v>
      </c>
      <c r="N215">
        <v>3</v>
      </c>
      <c r="O215" t="s">
        <v>59</v>
      </c>
      <c r="P215" t="s">
        <v>36</v>
      </c>
      <c r="Q215">
        <v>159</v>
      </c>
      <c r="R215">
        <v>60</v>
      </c>
      <c r="S215">
        <v>12</v>
      </c>
      <c r="T215" t="s">
        <v>37</v>
      </c>
      <c r="U215" t="s">
        <v>36</v>
      </c>
      <c r="V215" t="s">
        <v>36</v>
      </c>
      <c r="W215" t="s">
        <v>126</v>
      </c>
      <c r="X215">
        <v>2019</v>
      </c>
      <c r="Y215" t="s">
        <v>128</v>
      </c>
      <c r="Z215" t="s">
        <v>62</v>
      </c>
      <c r="AA215" t="s">
        <v>63</v>
      </c>
    </row>
    <row r="216" spans="1:27" x14ac:dyDescent="0.3">
      <c r="A216" t="s">
        <v>335</v>
      </c>
      <c r="B216" t="s">
        <v>28</v>
      </c>
      <c r="C216">
        <v>29</v>
      </c>
      <c r="D216" t="s">
        <v>29</v>
      </c>
      <c r="E216" t="s">
        <v>103</v>
      </c>
      <c r="F216" t="s">
        <v>56</v>
      </c>
      <c r="G216">
        <v>30378</v>
      </c>
      <c r="H216" s="1">
        <v>45525</v>
      </c>
      <c r="I216" t="s">
        <v>47</v>
      </c>
      <c r="J216" t="s">
        <v>118</v>
      </c>
      <c r="K216" t="s">
        <v>49</v>
      </c>
      <c r="L216">
        <v>2</v>
      </c>
      <c r="M216">
        <v>1</v>
      </c>
      <c r="N216">
        <v>3</v>
      </c>
      <c r="O216" t="s">
        <v>35</v>
      </c>
      <c r="P216" t="s">
        <v>36</v>
      </c>
      <c r="Q216">
        <v>188</v>
      </c>
      <c r="R216">
        <v>65</v>
      </c>
      <c r="S216">
        <v>7</v>
      </c>
      <c r="T216" t="s">
        <v>36</v>
      </c>
      <c r="U216" t="s">
        <v>37</v>
      </c>
      <c r="V216" t="s">
        <v>36</v>
      </c>
      <c r="W216" t="s">
        <v>60</v>
      </c>
      <c r="X216">
        <v>2024</v>
      </c>
      <c r="Y216" t="s">
        <v>128</v>
      </c>
      <c r="Z216" t="s">
        <v>75</v>
      </c>
      <c r="AA216" t="s">
        <v>63</v>
      </c>
    </row>
    <row r="217" spans="1:27" x14ac:dyDescent="0.3">
      <c r="A217" t="s">
        <v>336</v>
      </c>
      <c r="B217" t="s">
        <v>28</v>
      </c>
      <c r="C217">
        <v>37</v>
      </c>
      <c r="D217" t="s">
        <v>77</v>
      </c>
      <c r="E217" t="s">
        <v>78</v>
      </c>
      <c r="F217" t="s">
        <v>31</v>
      </c>
      <c r="G217">
        <v>51766</v>
      </c>
      <c r="H217" s="1">
        <v>46119</v>
      </c>
      <c r="I217" t="s">
        <v>57</v>
      </c>
      <c r="J217" t="s">
        <v>118</v>
      </c>
      <c r="K217" t="s">
        <v>34</v>
      </c>
      <c r="L217">
        <v>7</v>
      </c>
      <c r="M217">
        <v>3</v>
      </c>
      <c r="N217">
        <v>1</v>
      </c>
      <c r="O217" t="s">
        <v>35</v>
      </c>
      <c r="P217" t="s">
        <v>36</v>
      </c>
      <c r="Q217">
        <v>221</v>
      </c>
      <c r="R217">
        <v>44</v>
      </c>
      <c r="S217">
        <v>8</v>
      </c>
      <c r="T217" t="s">
        <v>36</v>
      </c>
      <c r="U217" t="s">
        <v>36</v>
      </c>
      <c r="V217" t="s">
        <v>37</v>
      </c>
      <c r="W217" t="s">
        <v>38</v>
      </c>
      <c r="X217">
        <v>2026</v>
      </c>
      <c r="Y217" t="s">
        <v>69</v>
      </c>
      <c r="Z217" t="s">
        <v>62</v>
      </c>
      <c r="AA217" t="s">
        <v>41</v>
      </c>
    </row>
    <row r="218" spans="1:27" x14ac:dyDescent="0.3">
      <c r="A218" t="s">
        <v>337</v>
      </c>
      <c r="B218" t="s">
        <v>43</v>
      </c>
      <c r="C218">
        <v>26</v>
      </c>
      <c r="D218" t="s">
        <v>44</v>
      </c>
      <c r="E218" t="s">
        <v>45</v>
      </c>
      <c r="F218" t="s">
        <v>31</v>
      </c>
      <c r="G218">
        <v>47274</v>
      </c>
      <c r="H218" s="1">
        <v>44370</v>
      </c>
      <c r="I218" t="s">
        <v>98</v>
      </c>
      <c r="J218" t="s">
        <v>99</v>
      </c>
      <c r="K218" t="s">
        <v>34</v>
      </c>
      <c r="L218">
        <v>3</v>
      </c>
      <c r="M218">
        <v>5</v>
      </c>
      <c r="N218">
        <v>3</v>
      </c>
      <c r="O218" t="s">
        <v>59</v>
      </c>
      <c r="P218" t="s">
        <v>37</v>
      </c>
      <c r="Q218">
        <v>164</v>
      </c>
      <c r="R218">
        <v>75</v>
      </c>
      <c r="S218">
        <v>4</v>
      </c>
      <c r="T218" t="s">
        <v>36</v>
      </c>
      <c r="U218" t="s">
        <v>36</v>
      </c>
      <c r="V218" t="s">
        <v>36</v>
      </c>
      <c r="W218" t="s">
        <v>60</v>
      </c>
      <c r="X218">
        <v>2021</v>
      </c>
      <c r="Y218" t="s">
        <v>61</v>
      </c>
      <c r="Z218" t="s">
        <v>75</v>
      </c>
      <c r="AA218" t="s">
        <v>41</v>
      </c>
    </row>
    <row r="219" spans="1:27" x14ac:dyDescent="0.3">
      <c r="A219" t="s">
        <v>338</v>
      </c>
      <c r="B219" t="s">
        <v>43</v>
      </c>
      <c r="C219">
        <v>30</v>
      </c>
      <c r="D219" t="s">
        <v>54</v>
      </c>
      <c r="E219" t="s">
        <v>111</v>
      </c>
      <c r="F219" t="s">
        <v>96</v>
      </c>
      <c r="G219">
        <v>133365</v>
      </c>
      <c r="H219" s="1">
        <v>43991</v>
      </c>
      <c r="I219" t="s">
        <v>107</v>
      </c>
      <c r="J219" t="s">
        <v>101</v>
      </c>
      <c r="K219" t="s">
        <v>49</v>
      </c>
      <c r="L219">
        <v>13</v>
      </c>
      <c r="M219">
        <v>2</v>
      </c>
      <c r="N219">
        <v>1</v>
      </c>
      <c r="O219" t="s">
        <v>50</v>
      </c>
      <c r="P219" t="s">
        <v>36</v>
      </c>
      <c r="Q219">
        <v>229</v>
      </c>
      <c r="R219">
        <v>44</v>
      </c>
      <c r="S219">
        <v>24</v>
      </c>
      <c r="T219" t="s">
        <v>36</v>
      </c>
      <c r="U219" t="s">
        <v>37</v>
      </c>
      <c r="V219" t="s">
        <v>36</v>
      </c>
      <c r="W219" t="s">
        <v>60</v>
      </c>
      <c r="X219">
        <v>2020</v>
      </c>
      <c r="Y219" t="s">
        <v>61</v>
      </c>
      <c r="Z219" t="s">
        <v>75</v>
      </c>
      <c r="AA219" t="s">
        <v>105</v>
      </c>
    </row>
    <row r="220" spans="1:27" x14ac:dyDescent="0.3">
      <c r="A220" t="s">
        <v>339</v>
      </c>
      <c r="B220" t="s">
        <v>43</v>
      </c>
      <c r="C220">
        <v>28</v>
      </c>
      <c r="D220" t="s">
        <v>65</v>
      </c>
      <c r="E220" t="s">
        <v>72</v>
      </c>
      <c r="F220" t="s">
        <v>31</v>
      </c>
      <c r="G220">
        <v>42158</v>
      </c>
      <c r="H220" s="1">
        <v>44474</v>
      </c>
      <c r="I220" t="s">
        <v>107</v>
      </c>
      <c r="J220" t="s">
        <v>101</v>
      </c>
      <c r="K220" t="s">
        <v>49</v>
      </c>
      <c r="L220">
        <v>4</v>
      </c>
      <c r="M220">
        <v>2</v>
      </c>
      <c r="N220">
        <v>4</v>
      </c>
      <c r="O220" t="s">
        <v>59</v>
      </c>
      <c r="P220" t="s">
        <v>36</v>
      </c>
      <c r="Q220">
        <v>257</v>
      </c>
      <c r="R220">
        <v>50</v>
      </c>
      <c r="S220">
        <v>26</v>
      </c>
      <c r="T220" t="s">
        <v>36</v>
      </c>
      <c r="U220" t="s">
        <v>36</v>
      </c>
      <c r="V220" t="s">
        <v>37</v>
      </c>
      <c r="W220" t="s">
        <v>38</v>
      </c>
      <c r="X220">
        <v>2021</v>
      </c>
      <c r="Y220" t="s">
        <v>83</v>
      </c>
      <c r="Z220" t="s">
        <v>75</v>
      </c>
      <c r="AA220" t="s">
        <v>41</v>
      </c>
    </row>
    <row r="221" spans="1:27" x14ac:dyDescent="0.3">
      <c r="A221" t="s">
        <v>340</v>
      </c>
      <c r="B221" t="s">
        <v>43</v>
      </c>
      <c r="C221">
        <v>32</v>
      </c>
      <c r="D221" t="s">
        <v>54</v>
      </c>
      <c r="E221" t="s">
        <v>111</v>
      </c>
      <c r="F221" t="s">
        <v>56</v>
      </c>
      <c r="G221">
        <v>37195</v>
      </c>
      <c r="H221" s="1">
        <v>45672</v>
      </c>
      <c r="I221" t="s">
        <v>57</v>
      </c>
      <c r="J221" t="s">
        <v>99</v>
      </c>
      <c r="K221" t="s">
        <v>34</v>
      </c>
      <c r="L221">
        <v>1</v>
      </c>
      <c r="M221">
        <v>2</v>
      </c>
      <c r="N221">
        <v>3</v>
      </c>
      <c r="O221" t="s">
        <v>59</v>
      </c>
      <c r="P221" t="s">
        <v>36</v>
      </c>
      <c r="Q221">
        <v>230</v>
      </c>
      <c r="R221">
        <v>80</v>
      </c>
      <c r="S221">
        <v>8</v>
      </c>
      <c r="T221" t="s">
        <v>37</v>
      </c>
      <c r="U221" t="s">
        <v>37</v>
      </c>
      <c r="V221" t="s">
        <v>36</v>
      </c>
      <c r="W221" t="s">
        <v>60</v>
      </c>
      <c r="X221">
        <v>2025</v>
      </c>
      <c r="Y221" t="s">
        <v>94</v>
      </c>
      <c r="Z221" t="s">
        <v>40</v>
      </c>
      <c r="AA221" t="s">
        <v>63</v>
      </c>
    </row>
    <row r="222" spans="1:27" x14ac:dyDescent="0.3">
      <c r="A222" t="s">
        <v>341</v>
      </c>
      <c r="B222" t="s">
        <v>43</v>
      </c>
      <c r="C222">
        <v>48</v>
      </c>
      <c r="D222" t="s">
        <v>85</v>
      </c>
      <c r="E222" t="s">
        <v>151</v>
      </c>
      <c r="F222" t="s">
        <v>96</v>
      </c>
      <c r="G222">
        <v>119269</v>
      </c>
      <c r="H222" s="1">
        <v>45881</v>
      </c>
      <c r="I222" t="s">
        <v>98</v>
      </c>
      <c r="J222" t="s">
        <v>99</v>
      </c>
      <c r="K222" t="s">
        <v>34</v>
      </c>
      <c r="L222">
        <v>20</v>
      </c>
      <c r="M222">
        <v>3</v>
      </c>
      <c r="N222">
        <v>2</v>
      </c>
      <c r="O222" t="s">
        <v>68</v>
      </c>
      <c r="P222" t="s">
        <v>36</v>
      </c>
      <c r="Q222">
        <v>214</v>
      </c>
      <c r="R222">
        <v>26</v>
      </c>
      <c r="S222">
        <v>26</v>
      </c>
      <c r="T222" t="s">
        <v>36</v>
      </c>
      <c r="U222" t="s">
        <v>37</v>
      </c>
      <c r="V222" t="s">
        <v>36</v>
      </c>
      <c r="W222" t="s">
        <v>60</v>
      </c>
      <c r="X222">
        <v>2025</v>
      </c>
      <c r="Y222" t="s">
        <v>128</v>
      </c>
      <c r="Z222" t="s">
        <v>70</v>
      </c>
      <c r="AA222" t="s">
        <v>87</v>
      </c>
    </row>
    <row r="223" spans="1:27" x14ac:dyDescent="0.3">
      <c r="A223" t="s">
        <v>342</v>
      </c>
      <c r="B223" t="s">
        <v>43</v>
      </c>
      <c r="C223">
        <v>21</v>
      </c>
      <c r="D223" t="s">
        <v>85</v>
      </c>
      <c r="E223" t="s">
        <v>168</v>
      </c>
      <c r="F223" t="s">
        <v>31</v>
      </c>
      <c r="G223">
        <v>66114</v>
      </c>
      <c r="H223" s="1">
        <v>45446</v>
      </c>
      <c r="I223" t="s">
        <v>107</v>
      </c>
      <c r="J223" t="s">
        <v>91</v>
      </c>
      <c r="K223" t="s">
        <v>58</v>
      </c>
      <c r="L223">
        <v>7</v>
      </c>
      <c r="M223">
        <v>3</v>
      </c>
      <c r="N223">
        <v>1</v>
      </c>
      <c r="O223" t="s">
        <v>35</v>
      </c>
      <c r="P223" t="s">
        <v>37</v>
      </c>
      <c r="Q223">
        <v>247</v>
      </c>
      <c r="R223">
        <v>31</v>
      </c>
      <c r="S223">
        <v>18</v>
      </c>
      <c r="T223" t="s">
        <v>36</v>
      </c>
      <c r="U223" t="s">
        <v>36</v>
      </c>
      <c r="V223" t="s">
        <v>37</v>
      </c>
      <c r="W223" t="s">
        <v>38</v>
      </c>
      <c r="X223">
        <v>2024</v>
      </c>
      <c r="Y223" t="s">
        <v>61</v>
      </c>
      <c r="Z223" t="s">
        <v>104</v>
      </c>
      <c r="AA223" t="s">
        <v>52</v>
      </c>
    </row>
    <row r="224" spans="1:27" x14ac:dyDescent="0.3">
      <c r="A224" t="s">
        <v>343</v>
      </c>
      <c r="B224" t="s">
        <v>43</v>
      </c>
      <c r="C224">
        <v>36</v>
      </c>
      <c r="D224" t="s">
        <v>89</v>
      </c>
      <c r="E224" t="s">
        <v>130</v>
      </c>
      <c r="F224" t="s">
        <v>56</v>
      </c>
      <c r="G224">
        <v>29307</v>
      </c>
      <c r="H224" s="1">
        <v>43888</v>
      </c>
      <c r="I224" t="s">
        <v>47</v>
      </c>
      <c r="J224" t="s">
        <v>91</v>
      </c>
      <c r="K224" t="s">
        <v>34</v>
      </c>
      <c r="L224">
        <v>2</v>
      </c>
      <c r="M224">
        <v>5</v>
      </c>
      <c r="N224">
        <v>3</v>
      </c>
      <c r="O224" t="s">
        <v>35</v>
      </c>
      <c r="P224" t="s">
        <v>36</v>
      </c>
      <c r="Q224">
        <v>183</v>
      </c>
      <c r="R224">
        <v>71</v>
      </c>
      <c r="S224">
        <v>10</v>
      </c>
      <c r="T224" t="s">
        <v>36</v>
      </c>
      <c r="U224" t="s">
        <v>36</v>
      </c>
      <c r="V224" t="s">
        <v>36</v>
      </c>
      <c r="W224" t="s">
        <v>60</v>
      </c>
      <c r="X224">
        <v>2020</v>
      </c>
      <c r="Y224" t="s">
        <v>39</v>
      </c>
      <c r="Z224" t="s">
        <v>62</v>
      </c>
      <c r="AA224" t="s">
        <v>63</v>
      </c>
    </row>
    <row r="225" spans="1:27" x14ac:dyDescent="0.3">
      <c r="A225" t="s">
        <v>344</v>
      </c>
      <c r="B225" t="s">
        <v>43</v>
      </c>
      <c r="C225">
        <v>21</v>
      </c>
      <c r="D225" t="s">
        <v>65</v>
      </c>
      <c r="E225" t="s">
        <v>66</v>
      </c>
      <c r="F225" t="s">
        <v>96</v>
      </c>
      <c r="G225">
        <v>153191</v>
      </c>
      <c r="H225" s="1">
        <v>43493</v>
      </c>
      <c r="I225" t="s">
        <v>107</v>
      </c>
      <c r="J225" t="s">
        <v>33</v>
      </c>
      <c r="K225" t="s">
        <v>58</v>
      </c>
      <c r="L225">
        <v>17</v>
      </c>
      <c r="M225">
        <v>5</v>
      </c>
      <c r="N225">
        <v>2</v>
      </c>
      <c r="O225" t="s">
        <v>68</v>
      </c>
      <c r="P225" t="s">
        <v>36</v>
      </c>
      <c r="Q225">
        <v>171</v>
      </c>
      <c r="R225">
        <v>25</v>
      </c>
      <c r="S225">
        <v>13</v>
      </c>
      <c r="T225" t="s">
        <v>36</v>
      </c>
      <c r="U225" t="s">
        <v>36</v>
      </c>
      <c r="V225" t="s">
        <v>37</v>
      </c>
      <c r="W225" t="s">
        <v>38</v>
      </c>
      <c r="X225">
        <v>2019</v>
      </c>
      <c r="Y225" t="s">
        <v>94</v>
      </c>
      <c r="Z225" t="s">
        <v>104</v>
      </c>
      <c r="AA225" t="s">
        <v>105</v>
      </c>
    </row>
    <row r="226" spans="1:27" x14ac:dyDescent="0.3">
      <c r="A226" t="s">
        <v>345</v>
      </c>
      <c r="B226" t="s">
        <v>28</v>
      </c>
      <c r="C226">
        <v>28</v>
      </c>
      <c r="D226" t="s">
        <v>44</v>
      </c>
      <c r="E226" t="s">
        <v>45</v>
      </c>
      <c r="F226" t="s">
        <v>46</v>
      </c>
      <c r="G226">
        <v>72427</v>
      </c>
      <c r="H226" s="1">
        <v>46231</v>
      </c>
      <c r="I226" t="s">
        <v>47</v>
      </c>
      <c r="J226" t="s">
        <v>99</v>
      </c>
      <c r="K226" t="s">
        <v>58</v>
      </c>
      <c r="L226">
        <v>12</v>
      </c>
      <c r="M226">
        <v>4</v>
      </c>
      <c r="N226">
        <v>4</v>
      </c>
      <c r="O226" t="s">
        <v>35</v>
      </c>
      <c r="P226" t="s">
        <v>37</v>
      </c>
      <c r="Q226">
        <v>225</v>
      </c>
      <c r="R226">
        <v>21</v>
      </c>
      <c r="S226">
        <v>20</v>
      </c>
      <c r="T226" t="s">
        <v>36</v>
      </c>
      <c r="U226" t="s">
        <v>36</v>
      </c>
      <c r="V226" t="s">
        <v>36</v>
      </c>
      <c r="W226" t="s">
        <v>60</v>
      </c>
      <c r="X226">
        <v>2026</v>
      </c>
      <c r="Y226" t="s">
        <v>79</v>
      </c>
      <c r="Z226" t="s">
        <v>75</v>
      </c>
      <c r="AA226" t="s">
        <v>52</v>
      </c>
    </row>
    <row r="227" spans="1:27" x14ac:dyDescent="0.3">
      <c r="A227" t="s">
        <v>346</v>
      </c>
      <c r="B227" t="s">
        <v>28</v>
      </c>
      <c r="C227">
        <v>39</v>
      </c>
      <c r="D227" t="s">
        <v>29</v>
      </c>
      <c r="E227" t="s">
        <v>93</v>
      </c>
      <c r="F227" t="s">
        <v>56</v>
      </c>
      <c r="G227">
        <v>33450</v>
      </c>
      <c r="H227" s="1">
        <v>44203</v>
      </c>
      <c r="I227" t="s">
        <v>107</v>
      </c>
      <c r="J227" t="s">
        <v>48</v>
      </c>
      <c r="K227" t="s">
        <v>58</v>
      </c>
      <c r="L227">
        <v>2</v>
      </c>
      <c r="M227">
        <v>5</v>
      </c>
      <c r="N227">
        <v>4</v>
      </c>
      <c r="O227" t="s">
        <v>59</v>
      </c>
      <c r="P227" t="s">
        <v>36</v>
      </c>
      <c r="Q227">
        <v>222</v>
      </c>
      <c r="R227">
        <v>65</v>
      </c>
      <c r="S227">
        <v>29</v>
      </c>
      <c r="T227" t="s">
        <v>36</v>
      </c>
      <c r="U227" t="s">
        <v>37</v>
      </c>
      <c r="V227" t="s">
        <v>36</v>
      </c>
      <c r="W227" t="s">
        <v>60</v>
      </c>
      <c r="X227">
        <v>2021</v>
      </c>
      <c r="Y227" t="s">
        <v>94</v>
      </c>
      <c r="Z227" t="s">
        <v>62</v>
      </c>
      <c r="AA227" t="s">
        <v>63</v>
      </c>
    </row>
    <row r="228" spans="1:27" x14ac:dyDescent="0.3">
      <c r="A228" t="s">
        <v>347</v>
      </c>
      <c r="B228" t="s">
        <v>28</v>
      </c>
      <c r="C228">
        <v>32</v>
      </c>
      <c r="D228" t="s">
        <v>77</v>
      </c>
      <c r="E228" t="s">
        <v>138</v>
      </c>
      <c r="F228" t="s">
        <v>31</v>
      </c>
      <c r="G228">
        <v>62421</v>
      </c>
      <c r="H228" s="1">
        <v>45558</v>
      </c>
      <c r="I228" t="s">
        <v>98</v>
      </c>
      <c r="J228" t="s">
        <v>48</v>
      </c>
      <c r="K228" t="s">
        <v>58</v>
      </c>
      <c r="L228">
        <v>7</v>
      </c>
      <c r="M228">
        <v>3</v>
      </c>
      <c r="N228">
        <v>2</v>
      </c>
      <c r="O228" t="s">
        <v>59</v>
      </c>
      <c r="P228" t="s">
        <v>36</v>
      </c>
      <c r="Q228">
        <v>237</v>
      </c>
      <c r="R228">
        <v>54</v>
      </c>
      <c r="S228">
        <v>6</v>
      </c>
      <c r="T228" t="s">
        <v>37</v>
      </c>
      <c r="U228" t="s">
        <v>36</v>
      </c>
      <c r="V228" t="s">
        <v>36</v>
      </c>
      <c r="W228" t="s">
        <v>60</v>
      </c>
      <c r="X228">
        <v>2024</v>
      </c>
      <c r="Y228" t="s">
        <v>51</v>
      </c>
      <c r="Z228" t="s">
        <v>40</v>
      </c>
      <c r="AA228" t="s">
        <v>52</v>
      </c>
    </row>
    <row r="229" spans="1:27" x14ac:dyDescent="0.3">
      <c r="A229" t="s">
        <v>348</v>
      </c>
      <c r="B229" t="s">
        <v>28</v>
      </c>
      <c r="C229">
        <v>24</v>
      </c>
      <c r="D229" t="s">
        <v>77</v>
      </c>
      <c r="E229" t="s">
        <v>138</v>
      </c>
      <c r="F229" t="s">
        <v>56</v>
      </c>
      <c r="G229">
        <v>33813</v>
      </c>
      <c r="H229" s="1">
        <v>45984</v>
      </c>
      <c r="I229" t="s">
        <v>32</v>
      </c>
      <c r="J229" t="s">
        <v>99</v>
      </c>
      <c r="K229" t="s">
        <v>34</v>
      </c>
      <c r="L229">
        <v>3</v>
      </c>
      <c r="M229">
        <v>5</v>
      </c>
      <c r="N229">
        <v>1</v>
      </c>
      <c r="O229" t="s">
        <v>59</v>
      </c>
      <c r="P229" t="s">
        <v>36</v>
      </c>
      <c r="Q229">
        <v>214</v>
      </c>
      <c r="R229">
        <v>71</v>
      </c>
      <c r="S229">
        <v>15</v>
      </c>
      <c r="T229" t="s">
        <v>36</v>
      </c>
      <c r="U229" t="s">
        <v>37</v>
      </c>
      <c r="V229" t="s">
        <v>37</v>
      </c>
      <c r="W229" t="s">
        <v>38</v>
      </c>
      <c r="X229">
        <v>2025</v>
      </c>
      <c r="Y229" t="s">
        <v>123</v>
      </c>
      <c r="Z229" t="s">
        <v>104</v>
      </c>
      <c r="AA229" t="s">
        <v>63</v>
      </c>
    </row>
    <row r="230" spans="1:27" x14ac:dyDescent="0.3">
      <c r="A230" t="s">
        <v>349</v>
      </c>
      <c r="B230" t="s">
        <v>28</v>
      </c>
      <c r="C230">
        <v>26</v>
      </c>
      <c r="D230" t="s">
        <v>77</v>
      </c>
      <c r="E230" t="s">
        <v>138</v>
      </c>
      <c r="F230" t="s">
        <v>96</v>
      </c>
      <c r="G230">
        <v>139969</v>
      </c>
      <c r="H230" s="1">
        <v>45878</v>
      </c>
      <c r="I230" t="s">
        <v>32</v>
      </c>
      <c r="J230" t="s">
        <v>48</v>
      </c>
      <c r="K230" t="s">
        <v>49</v>
      </c>
      <c r="L230">
        <v>13</v>
      </c>
      <c r="M230">
        <v>5</v>
      </c>
      <c r="N230">
        <v>1</v>
      </c>
      <c r="O230" t="s">
        <v>59</v>
      </c>
      <c r="P230" t="s">
        <v>36</v>
      </c>
      <c r="Q230">
        <v>167</v>
      </c>
      <c r="R230">
        <v>37</v>
      </c>
      <c r="S230">
        <v>8</v>
      </c>
      <c r="T230" t="s">
        <v>37</v>
      </c>
      <c r="U230" t="s">
        <v>36</v>
      </c>
      <c r="V230" t="s">
        <v>36</v>
      </c>
      <c r="W230" t="s">
        <v>60</v>
      </c>
      <c r="X230">
        <v>2025</v>
      </c>
      <c r="Y230" t="s">
        <v>128</v>
      </c>
      <c r="Z230" t="s">
        <v>75</v>
      </c>
      <c r="AA230" t="s">
        <v>105</v>
      </c>
    </row>
    <row r="231" spans="1:27" x14ac:dyDescent="0.3">
      <c r="A231" t="s">
        <v>350</v>
      </c>
      <c r="B231" t="s">
        <v>28</v>
      </c>
      <c r="C231">
        <v>36</v>
      </c>
      <c r="D231" t="s">
        <v>29</v>
      </c>
      <c r="E231" t="s">
        <v>122</v>
      </c>
      <c r="F231" t="s">
        <v>31</v>
      </c>
      <c r="G231">
        <v>64536</v>
      </c>
      <c r="H231" s="1">
        <v>45140</v>
      </c>
      <c r="I231" t="s">
        <v>98</v>
      </c>
      <c r="J231" t="s">
        <v>118</v>
      </c>
      <c r="K231" t="s">
        <v>34</v>
      </c>
      <c r="L231">
        <v>4</v>
      </c>
      <c r="M231">
        <v>3</v>
      </c>
      <c r="N231">
        <v>1</v>
      </c>
      <c r="O231" t="s">
        <v>50</v>
      </c>
      <c r="P231" t="s">
        <v>37</v>
      </c>
      <c r="Q231">
        <v>204</v>
      </c>
      <c r="R231">
        <v>40</v>
      </c>
      <c r="S231">
        <v>23</v>
      </c>
      <c r="T231" t="s">
        <v>36</v>
      </c>
      <c r="U231" t="s">
        <v>36</v>
      </c>
      <c r="V231" t="s">
        <v>36</v>
      </c>
      <c r="W231" t="s">
        <v>60</v>
      </c>
      <c r="X231">
        <v>2023</v>
      </c>
      <c r="Y231" t="s">
        <v>128</v>
      </c>
      <c r="Z231" t="s">
        <v>62</v>
      </c>
      <c r="AA231" t="s">
        <v>52</v>
      </c>
    </row>
    <row r="232" spans="1:27" x14ac:dyDescent="0.3">
      <c r="A232" t="s">
        <v>351</v>
      </c>
      <c r="B232" t="s">
        <v>43</v>
      </c>
      <c r="C232">
        <v>26</v>
      </c>
      <c r="D232" t="s">
        <v>89</v>
      </c>
      <c r="E232" t="s">
        <v>90</v>
      </c>
      <c r="F232" t="s">
        <v>46</v>
      </c>
      <c r="G232">
        <v>101640</v>
      </c>
      <c r="H232" s="1">
        <v>45447</v>
      </c>
      <c r="I232" t="s">
        <v>57</v>
      </c>
      <c r="J232" t="s">
        <v>33</v>
      </c>
      <c r="K232" t="s">
        <v>49</v>
      </c>
      <c r="L232">
        <v>13</v>
      </c>
      <c r="M232">
        <v>3</v>
      </c>
      <c r="N232">
        <v>3</v>
      </c>
      <c r="O232" t="s">
        <v>68</v>
      </c>
      <c r="P232" t="s">
        <v>36</v>
      </c>
      <c r="Q232">
        <v>194</v>
      </c>
      <c r="R232">
        <v>17</v>
      </c>
      <c r="S232">
        <v>8</v>
      </c>
      <c r="T232" t="s">
        <v>36</v>
      </c>
      <c r="U232" t="s">
        <v>36</v>
      </c>
      <c r="V232" t="s">
        <v>36</v>
      </c>
      <c r="W232" t="s">
        <v>126</v>
      </c>
      <c r="X232">
        <v>2024</v>
      </c>
      <c r="Y232" t="s">
        <v>61</v>
      </c>
      <c r="Z232" t="s">
        <v>75</v>
      </c>
      <c r="AA232" t="s">
        <v>87</v>
      </c>
    </row>
    <row r="233" spans="1:27" x14ac:dyDescent="0.3">
      <c r="A233" t="s">
        <v>352</v>
      </c>
      <c r="B233" t="s">
        <v>43</v>
      </c>
      <c r="C233">
        <v>33</v>
      </c>
      <c r="D233" t="s">
        <v>29</v>
      </c>
      <c r="E233" t="s">
        <v>93</v>
      </c>
      <c r="F233" t="s">
        <v>96</v>
      </c>
      <c r="G233">
        <v>90693</v>
      </c>
      <c r="H233" s="1">
        <v>43839</v>
      </c>
      <c r="I233" t="s">
        <v>32</v>
      </c>
      <c r="J233" t="s">
        <v>91</v>
      </c>
      <c r="K233" t="s">
        <v>58</v>
      </c>
      <c r="L233">
        <v>20</v>
      </c>
      <c r="M233">
        <v>2</v>
      </c>
      <c r="N233">
        <v>4</v>
      </c>
      <c r="O233" t="s">
        <v>35</v>
      </c>
      <c r="P233" t="s">
        <v>36</v>
      </c>
      <c r="Q233">
        <v>205</v>
      </c>
      <c r="R233">
        <v>54</v>
      </c>
      <c r="S233">
        <v>14</v>
      </c>
      <c r="T233" t="s">
        <v>36</v>
      </c>
      <c r="U233" t="s">
        <v>37</v>
      </c>
      <c r="V233" t="s">
        <v>37</v>
      </c>
      <c r="W233" t="s">
        <v>38</v>
      </c>
      <c r="X233">
        <v>2020</v>
      </c>
      <c r="Y233" t="s">
        <v>94</v>
      </c>
      <c r="Z233" t="s">
        <v>40</v>
      </c>
      <c r="AA233" t="s">
        <v>87</v>
      </c>
    </row>
    <row r="234" spans="1:27" x14ac:dyDescent="0.3">
      <c r="A234" t="s">
        <v>353</v>
      </c>
      <c r="B234" t="s">
        <v>43</v>
      </c>
      <c r="C234">
        <v>32</v>
      </c>
      <c r="D234" t="s">
        <v>29</v>
      </c>
      <c r="E234" t="s">
        <v>93</v>
      </c>
      <c r="F234" t="s">
        <v>96</v>
      </c>
      <c r="G234">
        <v>147536</v>
      </c>
      <c r="H234" s="1">
        <v>44292</v>
      </c>
      <c r="I234" t="s">
        <v>57</v>
      </c>
      <c r="J234" t="s">
        <v>91</v>
      </c>
      <c r="K234" t="s">
        <v>58</v>
      </c>
      <c r="L234">
        <v>8</v>
      </c>
      <c r="M234">
        <v>5</v>
      </c>
      <c r="N234">
        <v>3</v>
      </c>
      <c r="O234" t="s">
        <v>35</v>
      </c>
      <c r="P234" t="s">
        <v>37</v>
      </c>
      <c r="Q234">
        <v>154</v>
      </c>
      <c r="R234">
        <v>25</v>
      </c>
      <c r="S234">
        <v>4</v>
      </c>
      <c r="T234" t="s">
        <v>36</v>
      </c>
      <c r="U234" t="s">
        <v>36</v>
      </c>
      <c r="V234" t="s">
        <v>36</v>
      </c>
      <c r="W234" t="s">
        <v>126</v>
      </c>
      <c r="X234">
        <v>2021</v>
      </c>
      <c r="Y234" t="s">
        <v>69</v>
      </c>
      <c r="Z234" t="s">
        <v>40</v>
      </c>
      <c r="AA234" t="s">
        <v>105</v>
      </c>
    </row>
    <row r="235" spans="1:27" x14ac:dyDescent="0.3">
      <c r="A235" t="s">
        <v>354</v>
      </c>
      <c r="B235" t="s">
        <v>43</v>
      </c>
      <c r="C235">
        <v>27</v>
      </c>
      <c r="D235" t="s">
        <v>77</v>
      </c>
      <c r="E235" t="s">
        <v>133</v>
      </c>
      <c r="F235" t="s">
        <v>31</v>
      </c>
      <c r="G235">
        <v>58965</v>
      </c>
      <c r="H235" s="1">
        <v>43747</v>
      </c>
      <c r="I235" t="s">
        <v>107</v>
      </c>
      <c r="J235" t="s">
        <v>33</v>
      </c>
      <c r="K235" t="s">
        <v>34</v>
      </c>
      <c r="L235">
        <v>2</v>
      </c>
      <c r="M235">
        <v>1</v>
      </c>
      <c r="N235">
        <v>5</v>
      </c>
      <c r="O235" t="s">
        <v>68</v>
      </c>
      <c r="P235" t="s">
        <v>36</v>
      </c>
      <c r="Q235">
        <v>242</v>
      </c>
      <c r="R235">
        <v>63</v>
      </c>
      <c r="S235">
        <v>14</v>
      </c>
      <c r="T235" t="s">
        <v>36</v>
      </c>
      <c r="U235" t="s">
        <v>36</v>
      </c>
      <c r="V235" t="s">
        <v>36</v>
      </c>
      <c r="W235" t="s">
        <v>60</v>
      </c>
      <c r="X235">
        <v>2019</v>
      </c>
      <c r="Y235" t="s">
        <v>83</v>
      </c>
      <c r="Z235" t="s">
        <v>75</v>
      </c>
      <c r="AA235" t="s">
        <v>41</v>
      </c>
    </row>
    <row r="236" spans="1:27" x14ac:dyDescent="0.3">
      <c r="A236" t="s">
        <v>355</v>
      </c>
      <c r="B236" t="s">
        <v>43</v>
      </c>
      <c r="C236">
        <v>47</v>
      </c>
      <c r="D236" t="s">
        <v>85</v>
      </c>
      <c r="E236" t="s">
        <v>159</v>
      </c>
      <c r="F236" t="s">
        <v>56</v>
      </c>
      <c r="G236">
        <v>30371</v>
      </c>
      <c r="H236" s="1">
        <v>44858</v>
      </c>
      <c r="I236" t="s">
        <v>47</v>
      </c>
      <c r="J236" t="s">
        <v>101</v>
      </c>
      <c r="K236" t="s">
        <v>58</v>
      </c>
      <c r="L236">
        <v>2</v>
      </c>
      <c r="M236">
        <v>1</v>
      </c>
      <c r="N236">
        <v>5</v>
      </c>
      <c r="O236" t="s">
        <v>50</v>
      </c>
      <c r="P236" t="s">
        <v>36</v>
      </c>
      <c r="Q236">
        <v>218</v>
      </c>
      <c r="R236">
        <v>63</v>
      </c>
      <c r="S236">
        <v>23</v>
      </c>
      <c r="T236" t="s">
        <v>36</v>
      </c>
      <c r="U236" t="s">
        <v>36</v>
      </c>
      <c r="V236" t="s">
        <v>36</v>
      </c>
      <c r="W236" t="s">
        <v>60</v>
      </c>
      <c r="X236">
        <v>2022</v>
      </c>
      <c r="Y236" t="s">
        <v>83</v>
      </c>
      <c r="Z236" t="s">
        <v>70</v>
      </c>
      <c r="AA236" t="s">
        <v>63</v>
      </c>
    </row>
    <row r="237" spans="1:27" x14ac:dyDescent="0.3">
      <c r="A237" t="s">
        <v>356</v>
      </c>
      <c r="B237" t="s">
        <v>43</v>
      </c>
      <c r="C237">
        <v>36</v>
      </c>
      <c r="D237" t="s">
        <v>54</v>
      </c>
      <c r="E237" t="s">
        <v>207</v>
      </c>
      <c r="F237" t="s">
        <v>56</v>
      </c>
      <c r="G237">
        <v>40539</v>
      </c>
      <c r="H237" s="1">
        <v>46238</v>
      </c>
      <c r="I237" t="s">
        <v>107</v>
      </c>
      <c r="J237" t="s">
        <v>33</v>
      </c>
      <c r="K237" t="s">
        <v>49</v>
      </c>
      <c r="L237">
        <v>1</v>
      </c>
      <c r="M237">
        <v>2</v>
      </c>
      <c r="N237">
        <v>3</v>
      </c>
      <c r="O237" t="s">
        <v>35</v>
      </c>
      <c r="P237" t="s">
        <v>36</v>
      </c>
      <c r="Q237">
        <v>195</v>
      </c>
      <c r="R237">
        <v>56</v>
      </c>
      <c r="S237">
        <v>23</v>
      </c>
      <c r="T237" t="s">
        <v>36</v>
      </c>
      <c r="U237" t="s">
        <v>37</v>
      </c>
      <c r="V237" t="s">
        <v>36</v>
      </c>
      <c r="W237" t="s">
        <v>60</v>
      </c>
      <c r="X237">
        <v>2026</v>
      </c>
      <c r="Y237" t="s">
        <v>128</v>
      </c>
      <c r="Z237" t="s">
        <v>62</v>
      </c>
      <c r="AA237" t="s">
        <v>41</v>
      </c>
    </row>
    <row r="238" spans="1:27" x14ac:dyDescent="0.3">
      <c r="A238" t="s">
        <v>357</v>
      </c>
      <c r="B238" t="s">
        <v>28</v>
      </c>
      <c r="C238">
        <v>21</v>
      </c>
      <c r="D238" t="s">
        <v>85</v>
      </c>
      <c r="E238" t="s">
        <v>159</v>
      </c>
      <c r="F238" t="s">
        <v>46</v>
      </c>
      <c r="G238">
        <v>88169</v>
      </c>
      <c r="H238" s="1">
        <v>45815</v>
      </c>
      <c r="I238" t="s">
        <v>32</v>
      </c>
      <c r="J238" t="s">
        <v>33</v>
      </c>
      <c r="K238" t="s">
        <v>34</v>
      </c>
      <c r="L238">
        <v>8</v>
      </c>
      <c r="M238">
        <v>3</v>
      </c>
      <c r="N238">
        <v>2</v>
      </c>
      <c r="O238" t="s">
        <v>68</v>
      </c>
      <c r="P238" t="s">
        <v>36</v>
      </c>
      <c r="Q238">
        <v>237</v>
      </c>
      <c r="R238">
        <v>38</v>
      </c>
      <c r="S238">
        <v>8</v>
      </c>
      <c r="T238" t="s">
        <v>37</v>
      </c>
      <c r="U238" t="s">
        <v>36</v>
      </c>
      <c r="V238" t="s">
        <v>36</v>
      </c>
      <c r="W238" t="s">
        <v>60</v>
      </c>
      <c r="X238">
        <v>2025</v>
      </c>
      <c r="Y238" t="s">
        <v>61</v>
      </c>
      <c r="Z238" t="s">
        <v>104</v>
      </c>
      <c r="AA238" t="s">
        <v>52</v>
      </c>
    </row>
    <row r="239" spans="1:27" x14ac:dyDescent="0.3">
      <c r="A239" t="s">
        <v>358</v>
      </c>
      <c r="B239" t="s">
        <v>28</v>
      </c>
      <c r="C239">
        <v>33</v>
      </c>
      <c r="D239" t="s">
        <v>65</v>
      </c>
      <c r="E239" t="s">
        <v>147</v>
      </c>
      <c r="F239" t="s">
        <v>56</v>
      </c>
      <c r="G239">
        <v>31928</v>
      </c>
      <c r="H239" s="1">
        <v>46234</v>
      </c>
      <c r="I239" t="s">
        <v>107</v>
      </c>
      <c r="J239" t="s">
        <v>91</v>
      </c>
      <c r="K239" t="s">
        <v>49</v>
      </c>
      <c r="L239">
        <v>0</v>
      </c>
      <c r="M239">
        <v>4</v>
      </c>
      <c r="N239">
        <v>5</v>
      </c>
      <c r="O239" t="s">
        <v>50</v>
      </c>
      <c r="P239" t="s">
        <v>37</v>
      </c>
      <c r="Q239">
        <v>247</v>
      </c>
      <c r="R239">
        <v>67</v>
      </c>
      <c r="S239">
        <v>7</v>
      </c>
      <c r="T239" t="s">
        <v>36</v>
      </c>
      <c r="U239" t="s">
        <v>37</v>
      </c>
      <c r="V239" t="s">
        <v>36</v>
      </c>
      <c r="W239" t="s">
        <v>60</v>
      </c>
      <c r="X239">
        <v>2026</v>
      </c>
      <c r="Y239" t="s">
        <v>79</v>
      </c>
      <c r="Z239" t="s">
        <v>40</v>
      </c>
      <c r="AA239" t="s">
        <v>63</v>
      </c>
    </row>
    <row r="240" spans="1:27" x14ac:dyDescent="0.3">
      <c r="A240" t="s">
        <v>359</v>
      </c>
      <c r="B240" t="s">
        <v>43</v>
      </c>
      <c r="C240">
        <v>27</v>
      </c>
      <c r="D240" t="s">
        <v>44</v>
      </c>
      <c r="E240" t="s">
        <v>115</v>
      </c>
      <c r="F240" t="s">
        <v>56</v>
      </c>
      <c r="G240">
        <v>41866</v>
      </c>
      <c r="H240" s="1">
        <v>45680</v>
      </c>
      <c r="I240" t="s">
        <v>57</v>
      </c>
      <c r="J240" t="s">
        <v>101</v>
      </c>
      <c r="K240" t="s">
        <v>49</v>
      </c>
      <c r="L240">
        <v>3</v>
      </c>
      <c r="M240">
        <v>1</v>
      </c>
      <c r="N240">
        <v>5</v>
      </c>
      <c r="O240" t="s">
        <v>35</v>
      </c>
      <c r="P240" t="s">
        <v>36</v>
      </c>
      <c r="Q240">
        <v>200</v>
      </c>
      <c r="R240">
        <v>6</v>
      </c>
      <c r="S240">
        <v>23</v>
      </c>
      <c r="T240" t="s">
        <v>37</v>
      </c>
      <c r="U240" t="s">
        <v>36</v>
      </c>
      <c r="V240" t="s">
        <v>36</v>
      </c>
      <c r="W240" t="s">
        <v>126</v>
      </c>
      <c r="X240">
        <v>2025</v>
      </c>
      <c r="Y240" t="s">
        <v>94</v>
      </c>
      <c r="Z240" t="s">
        <v>75</v>
      </c>
      <c r="AA240" t="s">
        <v>41</v>
      </c>
    </row>
    <row r="241" spans="1:27" x14ac:dyDescent="0.3">
      <c r="A241" t="s">
        <v>360</v>
      </c>
      <c r="B241" t="s">
        <v>28</v>
      </c>
      <c r="C241">
        <v>37</v>
      </c>
      <c r="D241" t="s">
        <v>65</v>
      </c>
      <c r="E241" t="s">
        <v>66</v>
      </c>
      <c r="F241" t="s">
        <v>46</v>
      </c>
      <c r="G241">
        <v>77265</v>
      </c>
      <c r="H241" s="1">
        <v>44542</v>
      </c>
      <c r="I241" t="s">
        <v>47</v>
      </c>
      <c r="J241" t="s">
        <v>118</v>
      </c>
      <c r="K241" t="s">
        <v>58</v>
      </c>
      <c r="L241">
        <v>13</v>
      </c>
      <c r="M241">
        <v>2</v>
      </c>
      <c r="N241">
        <v>3</v>
      </c>
      <c r="O241" t="s">
        <v>59</v>
      </c>
      <c r="P241" t="s">
        <v>36</v>
      </c>
      <c r="Q241">
        <v>228</v>
      </c>
      <c r="R241">
        <v>52</v>
      </c>
      <c r="S241">
        <v>13</v>
      </c>
      <c r="T241" t="s">
        <v>36</v>
      </c>
      <c r="U241" t="s">
        <v>36</v>
      </c>
      <c r="V241" t="s">
        <v>36</v>
      </c>
      <c r="W241" t="s">
        <v>60</v>
      </c>
      <c r="X241">
        <v>2021</v>
      </c>
      <c r="Y241" t="s">
        <v>116</v>
      </c>
      <c r="Z241" t="s">
        <v>62</v>
      </c>
      <c r="AA241" t="s">
        <v>52</v>
      </c>
    </row>
    <row r="242" spans="1:27" x14ac:dyDescent="0.3">
      <c r="A242" t="s">
        <v>361</v>
      </c>
      <c r="B242" t="s">
        <v>43</v>
      </c>
      <c r="C242">
        <v>26</v>
      </c>
      <c r="D242" t="s">
        <v>85</v>
      </c>
      <c r="E242" t="s">
        <v>168</v>
      </c>
      <c r="F242" t="s">
        <v>31</v>
      </c>
      <c r="G242">
        <v>68679</v>
      </c>
      <c r="H242" s="1">
        <v>44571</v>
      </c>
      <c r="I242" t="s">
        <v>32</v>
      </c>
      <c r="J242" t="s">
        <v>101</v>
      </c>
      <c r="K242" t="s">
        <v>58</v>
      </c>
      <c r="L242">
        <v>2</v>
      </c>
      <c r="M242">
        <v>2</v>
      </c>
      <c r="N242">
        <v>5</v>
      </c>
      <c r="O242" t="s">
        <v>68</v>
      </c>
      <c r="P242" t="s">
        <v>36</v>
      </c>
      <c r="Q242">
        <v>259</v>
      </c>
      <c r="R242">
        <v>58</v>
      </c>
      <c r="S242">
        <v>17</v>
      </c>
      <c r="T242" t="s">
        <v>37</v>
      </c>
      <c r="U242" t="s">
        <v>36</v>
      </c>
      <c r="V242" t="s">
        <v>36</v>
      </c>
      <c r="W242" t="s">
        <v>60</v>
      </c>
      <c r="X242">
        <v>2022</v>
      </c>
      <c r="Y242" t="s">
        <v>94</v>
      </c>
      <c r="Z242" t="s">
        <v>75</v>
      </c>
      <c r="AA242" t="s">
        <v>52</v>
      </c>
    </row>
    <row r="243" spans="1:27" x14ac:dyDescent="0.3">
      <c r="A243" t="s">
        <v>362</v>
      </c>
      <c r="B243" t="s">
        <v>43</v>
      </c>
      <c r="C243">
        <v>31</v>
      </c>
      <c r="D243" t="s">
        <v>81</v>
      </c>
      <c r="E243" t="s">
        <v>82</v>
      </c>
      <c r="F243" t="s">
        <v>56</v>
      </c>
      <c r="G243">
        <v>41054</v>
      </c>
      <c r="H243" s="1">
        <v>44135</v>
      </c>
      <c r="I243" t="s">
        <v>107</v>
      </c>
      <c r="J243" t="s">
        <v>67</v>
      </c>
      <c r="K243" t="s">
        <v>49</v>
      </c>
      <c r="L243">
        <v>0</v>
      </c>
      <c r="M243">
        <v>1</v>
      </c>
      <c r="N243">
        <v>2</v>
      </c>
      <c r="O243" t="s">
        <v>50</v>
      </c>
      <c r="P243" t="s">
        <v>36</v>
      </c>
      <c r="Q243">
        <v>210</v>
      </c>
      <c r="R243">
        <v>76</v>
      </c>
      <c r="S243">
        <v>19</v>
      </c>
      <c r="T243" t="s">
        <v>36</v>
      </c>
      <c r="U243" t="s">
        <v>37</v>
      </c>
      <c r="V243" t="s">
        <v>36</v>
      </c>
      <c r="W243" t="s">
        <v>60</v>
      </c>
      <c r="X243">
        <v>2020</v>
      </c>
      <c r="Y243" t="s">
        <v>83</v>
      </c>
      <c r="Z243" t="s">
        <v>40</v>
      </c>
      <c r="AA243" t="s">
        <v>41</v>
      </c>
    </row>
    <row r="244" spans="1:27" x14ac:dyDescent="0.3">
      <c r="A244" t="s">
        <v>363</v>
      </c>
      <c r="B244" t="s">
        <v>28</v>
      </c>
      <c r="C244">
        <v>35</v>
      </c>
      <c r="D244" t="s">
        <v>77</v>
      </c>
      <c r="E244" t="s">
        <v>182</v>
      </c>
      <c r="F244" t="s">
        <v>46</v>
      </c>
      <c r="G244">
        <v>109537</v>
      </c>
      <c r="H244" s="1">
        <v>44280</v>
      </c>
      <c r="I244" t="s">
        <v>107</v>
      </c>
      <c r="J244" t="s">
        <v>91</v>
      </c>
      <c r="K244" t="s">
        <v>49</v>
      </c>
      <c r="L244">
        <v>14</v>
      </c>
      <c r="M244">
        <v>5</v>
      </c>
      <c r="N244">
        <v>5</v>
      </c>
      <c r="O244" t="s">
        <v>59</v>
      </c>
      <c r="P244" t="s">
        <v>36</v>
      </c>
      <c r="Q244">
        <v>233</v>
      </c>
      <c r="R244">
        <v>62</v>
      </c>
      <c r="S244">
        <v>30</v>
      </c>
      <c r="T244" t="s">
        <v>37</v>
      </c>
      <c r="U244" t="s">
        <v>36</v>
      </c>
      <c r="V244" t="s">
        <v>36</v>
      </c>
      <c r="W244" t="s">
        <v>126</v>
      </c>
      <c r="X244">
        <v>2021</v>
      </c>
      <c r="Y244" t="s">
        <v>142</v>
      </c>
      <c r="Z244" t="s">
        <v>40</v>
      </c>
      <c r="AA244" t="s">
        <v>87</v>
      </c>
    </row>
    <row r="245" spans="1:27" x14ac:dyDescent="0.3">
      <c r="A245" t="s">
        <v>364</v>
      </c>
      <c r="B245" t="s">
        <v>43</v>
      </c>
      <c r="C245">
        <v>38</v>
      </c>
      <c r="D245" t="s">
        <v>89</v>
      </c>
      <c r="E245" t="s">
        <v>90</v>
      </c>
      <c r="F245" t="s">
        <v>31</v>
      </c>
      <c r="G245">
        <v>62990</v>
      </c>
      <c r="H245" s="1">
        <v>45193</v>
      </c>
      <c r="I245" t="s">
        <v>107</v>
      </c>
      <c r="J245" t="s">
        <v>33</v>
      </c>
      <c r="K245" t="s">
        <v>49</v>
      </c>
      <c r="L245">
        <v>4</v>
      </c>
      <c r="M245">
        <v>5</v>
      </c>
      <c r="N245">
        <v>5</v>
      </c>
      <c r="O245" t="s">
        <v>50</v>
      </c>
      <c r="P245" t="s">
        <v>36</v>
      </c>
      <c r="Q245">
        <v>258</v>
      </c>
      <c r="R245">
        <v>42</v>
      </c>
      <c r="S245">
        <v>24</v>
      </c>
      <c r="T245" t="s">
        <v>36</v>
      </c>
      <c r="U245" t="s">
        <v>37</v>
      </c>
      <c r="V245" t="s">
        <v>37</v>
      </c>
      <c r="W245" t="s">
        <v>38</v>
      </c>
      <c r="X245">
        <v>2023</v>
      </c>
      <c r="Y245" t="s">
        <v>51</v>
      </c>
      <c r="Z245" t="s">
        <v>62</v>
      </c>
      <c r="AA245" t="s">
        <v>52</v>
      </c>
    </row>
    <row r="246" spans="1:27" x14ac:dyDescent="0.3">
      <c r="A246" t="s">
        <v>365</v>
      </c>
      <c r="B246" t="s">
        <v>43</v>
      </c>
      <c r="C246">
        <v>23</v>
      </c>
      <c r="D246" t="s">
        <v>81</v>
      </c>
      <c r="E246" t="s">
        <v>165</v>
      </c>
      <c r="F246" t="s">
        <v>46</v>
      </c>
      <c r="G246">
        <v>103464</v>
      </c>
      <c r="H246" s="1">
        <v>45310</v>
      </c>
      <c r="I246" t="s">
        <v>32</v>
      </c>
      <c r="J246" t="s">
        <v>67</v>
      </c>
      <c r="K246" t="s">
        <v>34</v>
      </c>
      <c r="L246">
        <v>13</v>
      </c>
      <c r="M246">
        <v>4</v>
      </c>
      <c r="N246">
        <v>2</v>
      </c>
      <c r="O246" t="s">
        <v>35</v>
      </c>
      <c r="P246" t="s">
        <v>37</v>
      </c>
      <c r="Q246">
        <v>259</v>
      </c>
      <c r="R246">
        <v>31</v>
      </c>
      <c r="S246">
        <v>7</v>
      </c>
      <c r="T246" t="s">
        <v>36</v>
      </c>
      <c r="U246" t="s">
        <v>37</v>
      </c>
      <c r="V246" t="s">
        <v>37</v>
      </c>
      <c r="W246" t="s">
        <v>38</v>
      </c>
      <c r="X246">
        <v>2024</v>
      </c>
      <c r="Y246" t="s">
        <v>94</v>
      </c>
      <c r="Z246" t="s">
        <v>104</v>
      </c>
      <c r="AA246" t="s">
        <v>87</v>
      </c>
    </row>
    <row r="247" spans="1:27" x14ac:dyDescent="0.3">
      <c r="A247" t="s">
        <v>366</v>
      </c>
      <c r="B247" t="s">
        <v>28</v>
      </c>
      <c r="C247">
        <v>29</v>
      </c>
      <c r="D247" t="s">
        <v>54</v>
      </c>
      <c r="E247" t="s">
        <v>153</v>
      </c>
      <c r="F247" t="s">
        <v>96</v>
      </c>
      <c r="G247">
        <v>97055</v>
      </c>
      <c r="H247" s="1">
        <v>45092</v>
      </c>
      <c r="I247" t="s">
        <v>47</v>
      </c>
      <c r="J247" t="s">
        <v>67</v>
      </c>
      <c r="K247" t="s">
        <v>58</v>
      </c>
      <c r="L247">
        <v>8</v>
      </c>
      <c r="M247">
        <v>5</v>
      </c>
      <c r="N247">
        <v>1</v>
      </c>
      <c r="O247" t="s">
        <v>68</v>
      </c>
      <c r="P247" t="s">
        <v>37</v>
      </c>
      <c r="Q247">
        <v>183</v>
      </c>
      <c r="R247">
        <v>41</v>
      </c>
      <c r="S247">
        <v>16</v>
      </c>
      <c r="T247" t="s">
        <v>36</v>
      </c>
      <c r="U247" t="s">
        <v>36</v>
      </c>
      <c r="V247" t="s">
        <v>37</v>
      </c>
      <c r="W247" t="s">
        <v>38</v>
      </c>
      <c r="X247">
        <v>2023</v>
      </c>
      <c r="Y247" t="s">
        <v>61</v>
      </c>
      <c r="Z247" t="s">
        <v>75</v>
      </c>
      <c r="AA247" t="s">
        <v>87</v>
      </c>
    </row>
    <row r="248" spans="1:27" x14ac:dyDescent="0.3">
      <c r="A248" t="s">
        <v>367</v>
      </c>
      <c r="B248" t="s">
        <v>28</v>
      </c>
      <c r="C248">
        <v>28</v>
      </c>
      <c r="D248" t="s">
        <v>85</v>
      </c>
      <c r="E248" t="s">
        <v>168</v>
      </c>
      <c r="F248" t="s">
        <v>56</v>
      </c>
      <c r="G248">
        <v>29151</v>
      </c>
      <c r="H248" s="1">
        <v>44798</v>
      </c>
      <c r="I248" t="s">
        <v>98</v>
      </c>
      <c r="J248" t="s">
        <v>73</v>
      </c>
      <c r="K248" t="s">
        <v>34</v>
      </c>
      <c r="L248">
        <v>2</v>
      </c>
      <c r="M248">
        <v>4</v>
      </c>
      <c r="N248">
        <v>4</v>
      </c>
      <c r="O248" t="s">
        <v>59</v>
      </c>
      <c r="P248" t="s">
        <v>36</v>
      </c>
      <c r="Q248">
        <v>184</v>
      </c>
      <c r="R248">
        <v>77</v>
      </c>
      <c r="S248">
        <v>15</v>
      </c>
      <c r="T248" t="s">
        <v>36</v>
      </c>
      <c r="U248" t="s">
        <v>36</v>
      </c>
      <c r="V248" t="s">
        <v>36</v>
      </c>
      <c r="W248" t="s">
        <v>60</v>
      </c>
      <c r="X248">
        <v>2022</v>
      </c>
      <c r="Y248" t="s">
        <v>128</v>
      </c>
      <c r="Z248" t="s">
        <v>75</v>
      </c>
      <c r="AA248" t="s">
        <v>63</v>
      </c>
    </row>
    <row r="249" spans="1:27" x14ac:dyDescent="0.3">
      <c r="A249" t="s">
        <v>368</v>
      </c>
      <c r="B249" t="s">
        <v>43</v>
      </c>
      <c r="C249">
        <v>27</v>
      </c>
      <c r="D249" t="s">
        <v>89</v>
      </c>
      <c r="E249" t="s">
        <v>90</v>
      </c>
      <c r="F249" t="s">
        <v>56</v>
      </c>
      <c r="G249">
        <v>42478</v>
      </c>
      <c r="H249" s="1">
        <v>44964</v>
      </c>
      <c r="I249" t="s">
        <v>32</v>
      </c>
      <c r="J249" t="s">
        <v>91</v>
      </c>
      <c r="K249" t="s">
        <v>49</v>
      </c>
      <c r="L249">
        <v>2</v>
      </c>
      <c r="M249">
        <v>4</v>
      </c>
      <c r="N249">
        <v>3</v>
      </c>
      <c r="O249" t="s">
        <v>59</v>
      </c>
      <c r="P249" t="s">
        <v>37</v>
      </c>
      <c r="Q249">
        <v>188</v>
      </c>
      <c r="R249">
        <v>73</v>
      </c>
      <c r="S249">
        <v>2</v>
      </c>
      <c r="T249" t="s">
        <v>36</v>
      </c>
      <c r="U249" t="s">
        <v>37</v>
      </c>
      <c r="V249" t="s">
        <v>37</v>
      </c>
      <c r="W249" t="s">
        <v>38</v>
      </c>
      <c r="X249">
        <v>2023</v>
      </c>
      <c r="Y249" t="s">
        <v>39</v>
      </c>
      <c r="Z249" t="s">
        <v>75</v>
      </c>
      <c r="AA249" t="s">
        <v>41</v>
      </c>
    </row>
    <row r="250" spans="1:27" x14ac:dyDescent="0.3">
      <c r="A250" t="s">
        <v>369</v>
      </c>
      <c r="B250" t="s">
        <v>43</v>
      </c>
      <c r="C250">
        <v>44</v>
      </c>
      <c r="D250" t="s">
        <v>89</v>
      </c>
      <c r="E250" t="s">
        <v>144</v>
      </c>
      <c r="F250" t="s">
        <v>56</v>
      </c>
      <c r="G250">
        <v>42104</v>
      </c>
      <c r="H250" s="1">
        <v>45911</v>
      </c>
      <c r="I250" t="s">
        <v>98</v>
      </c>
      <c r="J250" t="s">
        <v>118</v>
      </c>
      <c r="K250" t="s">
        <v>49</v>
      </c>
      <c r="L250">
        <v>2</v>
      </c>
      <c r="M250">
        <v>2</v>
      </c>
      <c r="N250">
        <v>1</v>
      </c>
      <c r="O250" t="s">
        <v>68</v>
      </c>
      <c r="P250" t="s">
        <v>36</v>
      </c>
      <c r="Q250">
        <v>197</v>
      </c>
      <c r="R250">
        <v>25</v>
      </c>
      <c r="S250">
        <v>24</v>
      </c>
      <c r="T250" t="s">
        <v>36</v>
      </c>
      <c r="U250" t="s">
        <v>36</v>
      </c>
      <c r="V250" t="s">
        <v>36</v>
      </c>
      <c r="W250" t="s">
        <v>126</v>
      </c>
      <c r="X250">
        <v>2025</v>
      </c>
      <c r="Y250" t="s">
        <v>51</v>
      </c>
      <c r="Z250" t="s">
        <v>70</v>
      </c>
      <c r="AA250" t="s">
        <v>41</v>
      </c>
    </row>
    <row r="251" spans="1:27" x14ac:dyDescent="0.3">
      <c r="A251" t="s">
        <v>370</v>
      </c>
      <c r="B251" t="s">
        <v>43</v>
      </c>
      <c r="C251">
        <v>34</v>
      </c>
      <c r="D251" t="s">
        <v>44</v>
      </c>
      <c r="E251" t="s">
        <v>109</v>
      </c>
      <c r="F251" t="s">
        <v>56</v>
      </c>
      <c r="G251">
        <v>41835</v>
      </c>
      <c r="H251" s="1">
        <v>45582</v>
      </c>
      <c r="I251" t="s">
        <v>57</v>
      </c>
      <c r="J251" t="s">
        <v>73</v>
      </c>
      <c r="K251" t="s">
        <v>58</v>
      </c>
      <c r="L251">
        <v>1</v>
      </c>
      <c r="M251">
        <v>5</v>
      </c>
      <c r="N251">
        <v>3</v>
      </c>
      <c r="O251" t="s">
        <v>50</v>
      </c>
      <c r="P251" t="s">
        <v>36</v>
      </c>
      <c r="Q251">
        <v>233</v>
      </c>
      <c r="R251">
        <v>19</v>
      </c>
      <c r="S251">
        <v>22</v>
      </c>
      <c r="T251" t="s">
        <v>36</v>
      </c>
      <c r="U251" t="s">
        <v>36</v>
      </c>
      <c r="V251" t="s">
        <v>36</v>
      </c>
      <c r="W251" t="s">
        <v>126</v>
      </c>
      <c r="X251">
        <v>2024</v>
      </c>
      <c r="Y251" t="s">
        <v>83</v>
      </c>
      <c r="Z251" t="s">
        <v>40</v>
      </c>
      <c r="AA251" t="s">
        <v>41</v>
      </c>
    </row>
    <row r="252" spans="1:27" x14ac:dyDescent="0.3">
      <c r="A252" t="s">
        <v>371</v>
      </c>
      <c r="B252" t="s">
        <v>43</v>
      </c>
      <c r="C252">
        <v>23</v>
      </c>
      <c r="D252" t="s">
        <v>89</v>
      </c>
      <c r="E252" t="s">
        <v>90</v>
      </c>
      <c r="F252" t="s">
        <v>46</v>
      </c>
      <c r="G252">
        <v>66271</v>
      </c>
      <c r="H252" s="1">
        <v>43669</v>
      </c>
      <c r="I252" t="s">
        <v>47</v>
      </c>
      <c r="J252" t="s">
        <v>99</v>
      </c>
      <c r="K252" t="s">
        <v>58</v>
      </c>
      <c r="L252">
        <v>7</v>
      </c>
      <c r="M252">
        <v>5</v>
      </c>
      <c r="N252">
        <v>1</v>
      </c>
      <c r="O252" t="s">
        <v>35</v>
      </c>
      <c r="P252" t="s">
        <v>37</v>
      </c>
      <c r="Q252">
        <v>163</v>
      </c>
      <c r="R252">
        <v>24</v>
      </c>
      <c r="S252">
        <v>2</v>
      </c>
      <c r="T252" t="s">
        <v>36</v>
      </c>
      <c r="U252" t="s">
        <v>36</v>
      </c>
      <c r="V252" t="s">
        <v>36</v>
      </c>
      <c r="W252" t="s">
        <v>60</v>
      </c>
      <c r="X252">
        <v>2019</v>
      </c>
      <c r="Y252" t="s">
        <v>79</v>
      </c>
      <c r="Z252" t="s">
        <v>104</v>
      </c>
      <c r="AA252" t="s">
        <v>52</v>
      </c>
    </row>
    <row r="253" spans="1:27" x14ac:dyDescent="0.3">
      <c r="A253" t="s">
        <v>372</v>
      </c>
      <c r="B253" t="s">
        <v>43</v>
      </c>
      <c r="C253">
        <v>38</v>
      </c>
      <c r="D253" t="s">
        <v>77</v>
      </c>
      <c r="E253" t="s">
        <v>78</v>
      </c>
      <c r="F253" t="s">
        <v>96</v>
      </c>
      <c r="G253">
        <v>138679</v>
      </c>
      <c r="H253" s="1">
        <v>43595</v>
      </c>
      <c r="I253" t="s">
        <v>57</v>
      </c>
      <c r="J253" t="s">
        <v>101</v>
      </c>
      <c r="K253" t="s">
        <v>58</v>
      </c>
      <c r="L253">
        <v>15</v>
      </c>
      <c r="M253">
        <v>3</v>
      </c>
      <c r="N253">
        <v>1</v>
      </c>
      <c r="O253" t="s">
        <v>68</v>
      </c>
      <c r="P253" t="s">
        <v>37</v>
      </c>
      <c r="Q253">
        <v>157</v>
      </c>
      <c r="R253">
        <v>37</v>
      </c>
      <c r="S253">
        <v>28</v>
      </c>
      <c r="T253" t="s">
        <v>36</v>
      </c>
      <c r="U253" t="s">
        <v>36</v>
      </c>
      <c r="V253" t="s">
        <v>36</v>
      </c>
      <c r="W253" t="s">
        <v>60</v>
      </c>
      <c r="X253">
        <v>2019</v>
      </c>
      <c r="Y253" t="s">
        <v>74</v>
      </c>
      <c r="Z253" t="s">
        <v>62</v>
      </c>
      <c r="AA253" t="s">
        <v>105</v>
      </c>
    </row>
    <row r="254" spans="1:27" x14ac:dyDescent="0.3">
      <c r="A254" t="s">
        <v>373</v>
      </c>
      <c r="B254" t="s">
        <v>28</v>
      </c>
      <c r="C254">
        <v>46</v>
      </c>
      <c r="D254" t="s">
        <v>44</v>
      </c>
      <c r="E254" t="s">
        <v>45</v>
      </c>
      <c r="F254" t="s">
        <v>96</v>
      </c>
      <c r="G254">
        <v>122396</v>
      </c>
      <c r="H254" s="1">
        <v>43603</v>
      </c>
      <c r="I254" t="s">
        <v>32</v>
      </c>
      <c r="J254" t="s">
        <v>101</v>
      </c>
      <c r="K254" t="s">
        <v>49</v>
      </c>
      <c r="L254">
        <v>19</v>
      </c>
      <c r="M254">
        <v>2</v>
      </c>
      <c r="N254">
        <v>4</v>
      </c>
      <c r="O254" t="s">
        <v>50</v>
      </c>
      <c r="P254" t="s">
        <v>36</v>
      </c>
      <c r="Q254">
        <v>248</v>
      </c>
      <c r="R254">
        <v>46</v>
      </c>
      <c r="S254">
        <v>7</v>
      </c>
      <c r="T254" t="s">
        <v>36</v>
      </c>
      <c r="U254" t="s">
        <v>37</v>
      </c>
      <c r="V254" t="s">
        <v>36</v>
      </c>
      <c r="W254" t="s">
        <v>60</v>
      </c>
      <c r="X254">
        <v>2019</v>
      </c>
      <c r="Y254" t="s">
        <v>74</v>
      </c>
      <c r="Z254" t="s">
        <v>70</v>
      </c>
      <c r="AA254" t="s">
        <v>87</v>
      </c>
    </row>
    <row r="255" spans="1:27" x14ac:dyDescent="0.3">
      <c r="A255" t="s">
        <v>374</v>
      </c>
      <c r="B255" t="s">
        <v>28</v>
      </c>
      <c r="C255">
        <v>39</v>
      </c>
      <c r="D255" t="s">
        <v>81</v>
      </c>
      <c r="E255" t="s">
        <v>165</v>
      </c>
      <c r="F255" t="s">
        <v>46</v>
      </c>
      <c r="G255">
        <v>78023</v>
      </c>
      <c r="H255" s="1">
        <v>43679</v>
      </c>
      <c r="I255" t="s">
        <v>32</v>
      </c>
      <c r="J255" t="s">
        <v>67</v>
      </c>
      <c r="K255" t="s">
        <v>34</v>
      </c>
      <c r="L255">
        <v>10</v>
      </c>
      <c r="M255">
        <v>2</v>
      </c>
      <c r="N255">
        <v>1</v>
      </c>
      <c r="O255" t="s">
        <v>35</v>
      </c>
      <c r="P255" t="s">
        <v>37</v>
      </c>
      <c r="Q255">
        <v>231</v>
      </c>
      <c r="R255">
        <v>55</v>
      </c>
      <c r="S255">
        <v>27</v>
      </c>
      <c r="T255" t="s">
        <v>37</v>
      </c>
      <c r="U255" t="s">
        <v>36</v>
      </c>
      <c r="V255" t="s">
        <v>37</v>
      </c>
      <c r="W255" t="s">
        <v>38</v>
      </c>
      <c r="X255">
        <v>2019</v>
      </c>
      <c r="Y255" t="s">
        <v>128</v>
      </c>
      <c r="Z255" t="s">
        <v>62</v>
      </c>
      <c r="AA255" t="s">
        <v>52</v>
      </c>
    </row>
    <row r="256" spans="1:27" x14ac:dyDescent="0.3">
      <c r="A256" t="s">
        <v>375</v>
      </c>
      <c r="B256" t="s">
        <v>28</v>
      </c>
      <c r="C256">
        <v>21</v>
      </c>
      <c r="D256" t="s">
        <v>29</v>
      </c>
      <c r="E256" t="s">
        <v>122</v>
      </c>
      <c r="F256" t="s">
        <v>31</v>
      </c>
      <c r="G256">
        <v>54169</v>
      </c>
      <c r="H256" s="1">
        <v>44484</v>
      </c>
      <c r="I256" t="s">
        <v>57</v>
      </c>
      <c r="J256" t="s">
        <v>99</v>
      </c>
      <c r="K256" t="s">
        <v>49</v>
      </c>
      <c r="L256">
        <v>2</v>
      </c>
      <c r="M256">
        <v>2</v>
      </c>
      <c r="N256">
        <v>4</v>
      </c>
      <c r="O256" t="s">
        <v>68</v>
      </c>
      <c r="P256" t="s">
        <v>37</v>
      </c>
      <c r="Q256">
        <v>237</v>
      </c>
      <c r="R256">
        <v>73</v>
      </c>
      <c r="S256">
        <v>27</v>
      </c>
      <c r="T256" t="s">
        <v>37</v>
      </c>
      <c r="U256" t="s">
        <v>36</v>
      </c>
      <c r="V256" t="s">
        <v>36</v>
      </c>
      <c r="W256" t="s">
        <v>60</v>
      </c>
      <c r="X256">
        <v>2021</v>
      </c>
      <c r="Y256" t="s">
        <v>83</v>
      </c>
      <c r="Z256" t="s">
        <v>104</v>
      </c>
      <c r="AA256" t="s">
        <v>41</v>
      </c>
    </row>
    <row r="257" spans="1:27" x14ac:dyDescent="0.3">
      <c r="A257" t="s">
        <v>376</v>
      </c>
      <c r="B257" t="s">
        <v>43</v>
      </c>
      <c r="C257">
        <v>28</v>
      </c>
      <c r="D257" t="s">
        <v>44</v>
      </c>
      <c r="E257" t="s">
        <v>109</v>
      </c>
      <c r="F257" t="s">
        <v>46</v>
      </c>
      <c r="G257">
        <v>93751</v>
      </c>
      <c r="H257" s="1">
        <v>43553</v>
      </c>
      <c r="I257" t="s">
        <v>47</v>
      </c>
      <c r="J257" t="s">
        <v>101</v>
      </c>
      <c r="K257" t="s">
        <v>34</v>
      </c>
      <c r="L257">
        <v>8</v>
      </c>
      <c r="M257">
        <v>4</v>
      </c>
      <c r="N257">
        <v>3</v>
      </c>
      <c r="O257" t="s">
        <v>50</v>
      </c>
      <c r="P257" t="s">
        <v>36</v>
      </c>
      <c r="Q257">
        <v>167</v>
      </c>
      <c r="R257">
        <v>74</v>
      </c>
      <c r="S257">
        <v>24</v>
      </c>
      <c r="T257" t="s">
        <v>36</v>
      </c>
      <c r="U257" t="s">
        <v>36</v>
      </c>
      <c r="V257" t="s">
        <v>36</v>
      </c>
      <c r="W257" t="s">
        <v>60</v>
      </c>
      <c r="X257">
        <v>2019</v>
      </c>
      <c r="Y257" t="s">
        <v>142</v>
      </c>
      <c r="Z257" t="s">
        <v>75</v>
      </c>
      <c r="AA257" t="s">
        <v>87</v>
      </c>
    </row>
    <row r="258" spans="1:27" x14ac:dyDescent="0.3">
      <c r="A258" t="s">
        <v>377</v>
      </c>
      <c r="B258" t="s">
        <v>28</v>
      </c>
      <c r="C258">
        <v>40</v>
      </c>
      <c r="D258" t="s">
        <v>65</v>
      </c>
      <c r="E258" t="s">
        <v>66</v>
      </c>
      <c r="F258" t="s">
        <v>96</v>
      </c>
      <c r="G258">
        <v>126087</v>
      </c>
      <c r="H258" s="1">
        <v>45737</v>
      </c>
      <c r="I258" t="s">
        <v>107</v>
      </c>
      <c r="J258" t="s">
        <v>91</v>
      </c>
      <c r="K258" t="s">
        <v>49</v>
      </c>
      <c r="L258">
        <v>17</v>
      </c>
      <c r="M258">
        <v>2</v>
      </c>
      <c r="N258">
        <v>1</v>
      </c>
      <c r="O258" t="s">
        <v>35</v>
      </c>
      <c r="P258" t="s">
        <v>36</v>
      </c>
      <c r="Q258">
        <v>169</v>
      </c>
      <c r="R258">
        <v>69</v>
      </c>
      <c r="S258">
        <v>14</v>
      </c>
      <c r="T258" t="s">
        <v>36</v>
      </c>
      <c r="U258" t="s">
        <v>36</v>
      </c>
      <c r="V258" t="s">
        <v>36</v>
      </c>
      <c r="W258" t="s">
        <v>60</v>
      </c>
      <c r="X258">
        <v>2025</v>
      </c>
      <c r="Y258" t="s">
        <v>142</v>
      </c>
      <c r="Z258" t="s">
        <v>62</v>
      </c>
      <c r="AA258" t="s">
        <v>87</v>
      </c>
    </row>
    <row r="259" spans="1:27" x14ac:dyDescent="0.3">
      <c r="A259" t="s">
        <v>378</v>
      </c>
      <c r="B259" t="s">
        <v>28</v>
      </c>
      <c r="C259">
        <v>27</v>
      </c>
      <c r="D259" t="s">
        <v>65</v>
      </c>
      <c r="E259" t="s">
        <v>147</v>
      </c>
      <c r="F259" t="s">
        <v>46</v>
      </c>
      <c r="G259">
        <v>69151</v>
      </c>
      <c r="H259" s="1">
        <v>45053</v>
      </c>
      <c r="I259" t="s">
        <v>107</v>
      </c>
      <c r="J259" t="s">
        <v>118</v>
      </c>
      <c r="K259" t="s">
        <v>34</v>
      </c>
      <c r="L259">
        <v>13</v>
      </c>
      <c r="M259">
        <v>2</v>
      </c>
      <c r="N259">
        <v>5</v>
      </c>
      <c r="O259" t="s">
        <v>50</v>
      </c>
      <c r="P259" t="s">
        <v>36</v>
      </c>
      <c r="Q259">
        <v>213</v>
      </c>
      <c r="R259">
        <v>19</v>
      </c>
      <c r="S259">
        <v>5</v>
      </c>
      <c r="T259" t="s">
        <v>36</v>
      </c>
      <c r="U259" t="s">
        <v>36</v>
      </c>
      <c r="V259" t="s">
        <v>36</v>
      </c>
      <c r="W259" t="s">
        <v>60</v>
      </c>
      <c r="X259">
        <v>2023</v>
      </c>
      <c r="Y259" t="s">
        <v>74</v>
      </c>
      <c r="Z259" t="s">
        <v>75</v>
      </c>
      <c r="AA259" t="s">
        <v>52</v>
      </c>
    </row>
    <row r="260" spans="1:27" x14ac:dyDescent="0.3">
      <c r="A260" t="s">
        <v>379</v>
      </c>
      <c r="B260" t="s">
        <v>28</v>
      </c>
      <c r="C260">
        <v>35</v>
      </c>
      <c r="D260" t="s">
        <v>85</v>
      </c>
      <c r="E260" t="s">
        <v>168</v>
      </c>
      <c r="F260" t="s">
        <v>56</v>
      </c>
      <c r="G260">
        <v>34621</v>
      </c>
      <c r="H260" s="1">
        <v>45454</v>
      </c>
      <c r="I260" t="s">
        <v>98</v>
      </c>
      <c r="J260" t="s">
        <v>67</v>
      </c>
      <c r="K260" t="s">
        <v>58</v>
      </c>
      <c r="L260">
        <v>0</v>
      </c>
      <c r="M260">
        <v>2</v>
      </c>
      <c r="N260">
        <v>1</v>
      </c>
      <c r="O260" t="s">
        <v>50</v>
      </c>
      <c r="P260" t="s">
        <v>37</v>
      </c>
      <c r="Q260">
        <v>223</v>
      </c>
      <c r="R260">
        <v>33</v>
      </c>
      <c r="S260">
        <v>21</v>
      </c>
      <c r="T260" t="s">
        <v>36</v>
      </c>
      <c r="U260" t="s">
        <v>36</v>
      </c>
      <c r="V260" t="s">
        <v>36</v>
      </c>
      <c r="W260" t="s">
        <v>60</v>
      </c>
      <c r="X260">
        <v>2024</v>
      </c>
      <c r="Y260" t="s">
        <v>61</v>
      </c>
      <c r="Z260" t="s">
        <v>40</v>
      </c>
      <c r="AA260" t="s">
        <v>63</v>
      </c>
    </row>
    <row r="261" spans="1:27" x14ac:dyDescent="0.3">
      <c r="A261" t="s">
        <v>380</v>
      </c>
      <c r="B261" t="s">
        <v>28</v>
      </c>
      <c r="C261">
        <v>37</v>
      </c>
      <c r="D261" t="s">
        <v>44</v>
      </c>
      <c r="E261" t="s">
        <v>45</v>
      </c>
      <c r="F261" t="s">
        <v>56</v>
      </c>
      <c r="G261">
        <v>43337</v>
      </c>
      <c r="H261" s="1">
        <v>44944</v>
      </c>
      <c r="I261" t="s">
        <v>107</v>
      </c>
      <c r="J261" t="s">
        <v>99</v>
      </c>
      <c r="K261" t="s">
        <v>34</v>
      </c>
      <c r="L261">
        <v>0</v>
      </c>
      <c r="M261">
        <v>5</v>
      </c>
      <c r="N261">
        <v>4</v>
      </c>
      <c r="O261" t="s">
        <v>35</v>
      </c>
      <c r="P261" t="s">
        <v>36</v>
      </c>
      <c r="Q261">
        <v>251</v>
      </c>
      <c r="R261">
        <v>43</v>
      </c>
      <c r="S261">
        <v>4</v>
      </c>
      <c r="T261" t="s">
        <v>37</v>
      </c>
      <c r="U261" t="s">
        <v>37</v>
      </c>
      <c r="V261" t="s">
        <v>36</v>
      </c>
      <c r="W261" t="s">
        <v>60</v>
      </c>
      <c r="X261">
        <v>2023</v>
      </c>
      <c r="Y261" t="s">
        <v>94</v>
      </c>
      <c r="Z261" t="s">
        <v>62</v>
      </c>
      <c r="AA261" t="s">
        <v>41</v>
      </c>
    </row>
    <row r="262" spans="1:27" x14ac:dyDescent="0.3">
      <c r="A262" t="s">
        <v>381</v>
      </c>
      <c r="B262" t="s">
        <v>28</v>
      </c>
      <c r="C262">
        <v>25</v>
      </c>
      <c r="D262" t="s">
        <v>44</v>
      </c>
      <c r="E262" t="s">
        <v>45</v>
      </c>
      <c r="F262" t="s">
        <v>31</v>
      </c>
      <c r="G262">
        <v>48328</v>
      </c>
      <c r="H262" s="1">
        <v>46156</v>
      </c>
      <c r="I262" t="s">
        <v>98</v>
      </c>
      <c r="J262" t="s">
        <v>91</v>
      </c>
      <c r="K262" t="s">
        <v>34</v>
      </c>
      <c r="L262">
        <v>6</v>
      </c>
      <c r="M262">
        <v>2</v>
      </c>
      <c r="N262">
        <v>5</v>
      </c>
      <c r="O262" t="s">
        <v>59</v>
      </c>
      <c r="P262" t="s">
        <v>36</v>
      </c>
      <c r="Q262">
        <v>172</v>
      </c>
      <c r="R262">
        <v>59</v>
      </c>
      <c r="S262">
        <v>30</v>
      </c>
      <c r="T262" t="s">
        <v>37</v>
      </c>
      <c r="U262" t="s">
        <v>36</v>
      </c>
      <c r="V262" t="s">
        <v>36</v>
      </c>
      <c r="W262" t="s">
        <v>60</v>
      </c>
      <c r="X262">
        <v>2026</v>
      </c>
      <c r="Y262" t="s">
        <v>74</v>
      </c>
      <c r="Z262" t="s">
        <v>104</v>
      </c>
      <c r="AA262" t="s">
        <v>41</v>
      </c>
    </row>
    <row r="263" spans="1:27" x14ac:dyDescent="0.3">
      <c r="A263" t="s">
        <v>382</v>
      </c>
      <c r="B263" t="s">
        <v>28</v>
      </c>
      <c r="C263">
        <v>31</v>
      </c>
      <c r="D263" t="s">
        <v>77</v>
      </c>
      <c r="E263" t="s">
        <v>78</v>
      </c>
      <c r="F263" t="s">
        <v>31</v>
      </c>
      <c r="G263">
        <v>59494</v>
      </c>
      <c r="H263" s="1">
        <v>45280</v>
      </c>
      <c r="I263" t="s">
        <v>47</v>
      </c>
      <c r="J263" t="s">
        <v>91</v>
      </c>
      <c r="K263" t="s">
        <v>34</v>
      </c>
      <c r="L263">
        <v>6</v>
      </c>
      <c r="M263">
        <v>3</v>
      </c>
      <c r="N263">
        <v>3</v>
      </c>
      <c r="O263" t="s">
        <v>68</v>
      </c>
      <c r="P263" t="s">
        <v>36</v>
      </c>
      <c r="Q263">
        <v>191</v>
      </c>
      <c r="R263">
        <v>77</v>
      </c>
      <c r="S263">
        <v>19</v>
      </c>
      <c r="T263" t="s">
        <v>37</v>
      </c>
      <c r="U263" t="s">
        <v>36</v>
      </c>
      <c r="V263" t="s">
        <v>36</v>
      </c>
      <c r="W263" t="s">
        <v>126</v>
      </c>
      <c r="X263">
        <v>2023</v>
      </c>
      <c r="Y263" t="s">
        <v>116</v>
      </c>
      <c r="Z263" t="s">
        <v>40</v>
      </c>
      <c r="AA263" t="s">
        <v>41</v>
      </c>
    </row>
    <row r="264" spans="1:27" x14ac:dyDescent="0.3">
      <c r="A264" t="s">
        <v>383</v>
      </c>
      <c r="B264" t="s">
        <v>43</v>
      </c>
      <c r="C264">
        <v>21</v>
      </c>
      <c r="D264" t="s">
        <v>65</v>
      </c>
      <c r="E264" t="s">
        <v>72</v>
      </c>
      <c r="F264" t="s">
        <v>96</v>
      </c>
      <c r="G264">
        <v>142047</v>
      </c>
      <c r="H264" s="1">
        <v>43607</v>
      </c>
      <c r="I264" t="s">
        <v>107</v>
      </c>
      <c r="J264" t="s">
        <v>99</v>
      </c>
      <c r="K264" t="s">
        <v>49</v>
      </c>
      <c r="L264">
        <v>8</v>
      </c>
      <c r="M264">
        <v>3</v>
      </c>
      <c r="N264">
        <v>5</v>
      </c>
      <c r="O264" t="s">
        <v>68</v>
      </c>
      <c r="P264" t="s">
        <v>37</v>
      </c>
      <c r="Q264">
        <v>216</v>
      </c>
      <c r="R264">
        <v>32</v>
      </c>
      <c r="S264">
        <v>29</v>
      </c>
      <c r="T264" t="s">
        <v>36</v>
      </c>
      <c r="U264" t="s">
        <v>36</v>
      </c>
      <c r="V264" t="s">
        <v>36</v>
      </c>
      <c r="W264" t="s">
        <v>60</v>
      </c>
      <c r="X264">
        <v>2019</v>
      </c>
      <c r="Y264" t="s">
        <v>74</v>
      </c>
      <c r="Z264" t="s">
        <v>104</v>
      </c>
      <c r="AA264" t="s">
        <v>105</v>
      </c>
    </row>
    <row r="265" spans="1:27" x14ac:dyDescent="0.3">
      <c r="A265" t="s">
        <v>384</v>
      </c>
      <c r="B265" t="s">
        <v>43</v>
      </c>
      <c r="C265">
        <v>24</v>
      </c>
      <c r="D265" t="s">
        <v>85</v>
      </c>
      <c r="E265" t="s">
        <v>86</v>
      </c>
      <c r="F265" t="s">
        <v>56</v>
      </c>
      <c r="G265">
        <v>43085</v>
      </c>
      <c r="H265" s="1">
        <v>44105</v>
      </c>
      <c r="I265" t="s">
        <v>107</v>
      </c>
      <c r="J265" t="s">
        <v>48</v>
      </c>
      <c r="K265" t="s">
        <v>34</v>
      </c>
      <c r="L265">
        <v>2</v>
      </c>
      <c r="M265">
        <v>2</v>
      </c>
      <c r="N265">
        <v>3</v>
      </c>
      <c r="O265" t="s">
        <v>59</v>
      </c>
      <c r="P265" t="s">
        <v>36</v>
      </c>
      <c r="Q265">
        <v>224</v>
      </c>
      <c r="R265">
        <v>77</v>
      </c>
      <c r="S265">
        <v>8</v>
      </c>
      <c r="T265" t="s">
        <v>36</v>
      </c>
      <c r="U265" t="s">
        <v>36</v>
      </c>
      <c r="V265" t="s">
        <v>36</v>
      </c>
      <c r="W265" t="s">
        <v>60</v>
      </c>
      <c r="X265">
        <v>2020</v>
      </c>
      <c r="Y265" t="s">
        <v>83</v>
      </c>
      <c r="Z265" t="s">
        <v>104</v>
      </c>
      <c r="AA265" t="s">
        <v>41</v>
      </c>
    </row>
    <row r="266" spans="1:27" x14ac:dyDescent="0.3">
      <c r="A266" t="s">
        <v>385</v>
      </c>
      <c r="B266" t="s">
        <v>43</v>
      </c>
      <c r="C266">
        <v>30</v>
      </c>
      <c r="D266" t="s">
        <v>89</v>
      </c>
      <c r="E266" t="s">
        <v>90</v>
      </c>
      <c r="F266" t="s">
        <v>96</v>
      </c>
      <c r="G266">
        <v>102499</v>
      </c>
      <c r="H266" s="1">
        <v>46096</v>
      </c>
      <c r="I266" t="s">
        <v>57</v>
      </c>
      <c r="J266" t="s">
        <v>91</v>
      </c>
      <c r="K266" t="s">
        <v>49</v>
      </c>
      <c r="L266">
        <v>17</v>
      </c>
      <c r="M266">
        <v>3</v>
      </c>
      <c r="N266">
        <v>1</v>
      </c>
      <c r="O266" t="s">
        <v>59</v>
      </c>
      <c r="P266" t="s">
        <v>36</v>
      </c>
      <c r="Q266">
        <v>253</v>
      </c>
      <c r="R266">
        <v>58</v>
      </c>
      <c r="S266">
        <v>29</v>
      </c>
      <c r="T266" t="s">
        <v>37</v>
      </c>
      <c r="U266" t="s">
        <v>36</v>
      </c>
      <c r="V266" t="s">
        <v>37</v>
      </c>
      <c r="W266" t="s">
        <v>38</v>
      </c>
      <c r="X266">
        <v>2026</v>
      </c>
      <c r="Y266" t="s">
        <v>142</v>
      </c>
      <c r="Z266" t="s">
        <v>75</v>
      </c>
      <c r="AA266" t="s">
        <v>87</v>
      </c>
    </row>
    <row r="267" spans="1:27" x14ac:dyDescent="0.3">
      <c r="A267" t="s">
        <v>386</v>
      </c>
      <c r="B267" t="s">
        <v>28</v>
      </c>
      <c r="C267">
        <v>23</v>
      </c>
      <c r="D267" t="s">
        <v>29</v>
      </c>
      <c r="E267" t="s">
        <v>122</v>
      </c>
      <c r="F267" t="s">
        <v>56</v>
      </c>
      <c r="G267">
        <v>37987</v>
      </c>
      <c r="H267" s="1">
        <v>44773</v>
      </c>
      <c r="I267" t="s">
        <v>47</v>
      </c>
      <c r="J267" t="s">
        <v>101</v>
      </c>
      <c r="K267" t="s">
        <v>34</v>
      </c>
      <c r="L267">
        <v>0</v>
      </c>
      <c r="M267">
        <v>5</v>
      </c>
      <c r="N267">
        <v>5</v>
      </c>
      <c r="O267" t="s">
        <v>35</v>
      </c>
      <c r="P267" t="s">
        <v>37</v>
      </c>
      <c r="Q267">
        <v>191</v>
      </c>
      <c r="R267">
        <v>33</v>
      </c>
      <c r="S267">
        <v>15</v>
      </c>
      <c r="T267" t="s">
        <v>36</v>
      </c>
      <c r="U267" t="s">
        <v>36</v>
      </c>
      <c r="V267" t="s">
        <v>36</v>
      </c>
      <c r="W267" t="s">
        <v>126</v>
      </c>
      <c r="X267">
        <v>2022</v>
      </c>
      <c r="Y267" t="s">
        <v>79</v>
      </c>
      <c r="Z267" t="s">
        <v>104</v>
      </c>
      <c r="AA267" t="s">
        <v>63</v>
      </c>
    </row>
    <row r="268" spans="1:27" x14ac:dyDescent="0.3">
      <c r="A268" t="s">
        <v>387</v>
      </c>
      <c r="B268" t="s">
        <v>28</v>
      </c>
      <c r="C268">
        <v>43</v>
      </c>
      <c r="D268" t="s">
        <v>85</v>
      </c>
      <c r="E268" t="s">
        <v>151</v>
      </c>
      <c r="F268" t="s">
        <v>56</v>
      </c>
      <c r="G268">
        <v>43592</v>
      </c>
      <c r="H268" s="1">
        <v>45711</v>
      </c>
      <c r="I268" t="s">
        <v>32</v>
      </c>
      <c r="J268" t="s">
        <v>73</v>
      </c>
      <c r="K268" t="s">
        <v>49</v>
      </c>
      <c r="L268">
        <v>0</v>
      </c>
      <c r="M268">
        <v>4</v>
      </c>
      <c r="N268">
        <v>3</v>
      </c>
      <c r="O268" t="s">
        <v>68</v>
      </c>
      <c r="P268" t="s">
        <v>37</v>
      </c>
      <c r="Q268">
        <v>201</v>
      </c>
      <c r="R268">
        <v>67</v>
      </c>
      <c r="S268">
        <v>14</v>
      </c>
      <c r="T268" t="s">
        <v>36</v>
      </c>
      <c r="U268" t="s">
        <v>36</v>
      </c>
      <c r="V268" t="s">
        <v>36</v>
      </c>
      <c r="W268" t="s">
        <v>60</v>
      </c>
      <c r="X268">
        <v>2025</v>
      </c>
      <c r="Y268" t="s">
        <v>39</v>
      </c>
      <c r="Z268" t="s">
        <v>70</v>
      </c>
      <c r="AA268" t="s">
        <v>41</v>
      </c>
    </row>
    <row r="269" spans="1:27" x14ac:dyDescent="0.3">
      <c r="A269" t="s">
        <v>388</v>
      </c>
      <c r="B269" t="s">
        <v>28</v>
      </c>
      <c r="C269">
        <v>21</v>
      </c>
      <c r="D269" t="s">
        <v>44</v>
      </c>
      <c r="E269" t="s">
        <v>219</v>
      </c>
      <c r="F269" t="s">
        <v>46</v>
      </c>
      <c r="G269">
        <v>93184</v>
      </c>
      <c r="H269" s="1">
        <v>45825</v>
      </c>
      <c r="I269" t="s">
        <v>32</v>
      </c>
      <c r="J269" t="s">
        <v>91</v>
      </c>
      <c r="K269" t="s">
        <v>49</v>
      </c>
      <c r="L269">
        <v>10</v>
      </c>
      <c r="M269">
        <v>1</v>
      </c>
      <c r="N269">
        <v>1</v>
      </c>
      <c r="O269" t="s">
        <v>35</v>
      </c>
      <c r="P269" t="s">
        <v>36</v>
      </c>
      <c r="Q269">
        <v>202</v>
      </c>
      <c r="R269">
        <v>44</v>
      </c>
      <c r="S269">
        <v>7</v>
      </c>
      <c r="T269" t="s">
        <v>36</v>
      </c>
      <c r="U269" t="s">
        <v>36</v>
      </c>
      <c r="V269" t="s">
        <v>36</v>
      </c>
      <c r="W269" t="s">
        <v>126</v>
      </c>
      <c r="X269">
        <v>2025</v>
      </c>
      <c r="Y269" t="s">
        <v>61</v>
      </c>
      <c r="Z269" t="s">
        <v>104</v>
      </c>
      <c r="AA269" t="s">
        <v>87</v>
      </c>
    </row>
    <row r="270" spans="1:27" x14ac:dyDescent="0.3">
      <c r="A270" t="s">
        <v>389</v>
      </c>
      <c r="B270" t="s">
        <v>28</v>
      </c>
      <c r="C270">
        <v>28</v>
      </c>
      <c r="D270" t="s">
        <v>89</v>
      </c>
      <c r="E270" t="s">
        <v>203</v>
      </c>
      <c r="F270" t="s">
        <v>31</v>
      </c>
      <c r="G270">
        <v>48543</v>
      </c>
      <c r="H270" s="1">
        <v>44997</v>
      </c>
      <c r="I270" t="s">
        <v>98</v>
      </c>
      <c r="J270" t="s">
        <v>73</v>
      </c>
      <c r="K270" t="s">
        <v>49</v>
      </c>
      <c r="L270">
        <v>7</v>
      </c>
      <c r="M270">
        <v>2</v>
      </c>
      <c r="N270">
        <v>1</v>
      </c>
      <c r="O270" t="s">
        <v>35</v>
      </c>
      <c r="P270" t="s">
        <v>37</v>
      </c>
      <c r="Q270">
        <v>244</v>
      </c>
      <c r="R270">
        <v>48</v>
      </c>
      <c r="S270">
        <v>24</v>
      </c>
      <c r="T270" t="s">
        <v>37</v>
      </c>
      <c r="U270" t="s">
        <v>37</v>
      </c>
      <c r="V270" t="s">
        <v>37</v>
      </c>
      <c r="W270" t="s">
        <v>38</v>
      </c>
      <c r="X270">
        <v>2023</v>
      </c>
      <c r="Y270" t="s">
        <v>142</v>
      </c>
      <c r="Z270" t="s">
        <v>75</v>
      </c>
      <c r="AA270" t="s">
        <v>41</v>
      </c>
    </row>
    <row r="271" spans="1:27" x14ac:dyDescent="0.3">
      <c r="A271" t="s">
        <v>390</v>
      </c>
      <c r="B271" t="s">
        <v>43</v>
      </c>
      <c r="C271">
        <v>32</v>
      </c>
      <c r="D271" t="s">
        <v>89</v>
      </c>
      <c r="E271" t="s">
        <v>130</v>
      </c>
      <c r="F271" t="s">
        <v>56</v>
      </c>
      <c r="G271">
        <v>38874</v>
      </c>
      <c r="H271" s="1">
        <v>45669</v>
      </c>
      <c r="I271" t="s">
        <v>98</v>
      </c>
      <c r="J271" t="s">
        <v>73</v>
      </c>
      <c r="K271" t="s">
        <v>34</v>
      </c>
      <c r="L271">
        <v>1</v>
      </c>
      <c r="M271">
        <v>2</v>
      </c>
      <c r="N271">
        <v>2</v>
      </c>
      <c r="O271" t="s">
        <v>35</v>
      </c>
      <c r="P271" t="s">
        <v>36</v>
      </c>
      <c r="Q271">
        <v>216</v>
      </c>
      <c r="R271">
        <v>53</v>
      </c>
      <c r="S271">
        <v>20</v>
      </c>
      <c r="T271" t="s">
        <v>36</v>
      </c>
      <c r="U271" t="s">
        <v>36</v>
      </c>
      <c r="V271" t="s">
        <v>36</v>
      </c>
      <c r="W271" t="s">
        <v>60</v>
      </c>
      <c r="X271">
        <v>2025</v>
      </c>
      <c r="Y271" t="s">
        <v>94</v>
      </c>
      <c r="Z271" t="s">
        <v>40</v>
      </c>
      <c r="AA271" t="s">
        <v>63</v>
      </c>
    </row>
    <row r="272" spans="1:27" x14ac:dyDescent="0.3">
      <c r="A272" t="s">
        <v>391</v>
      </c>
      <c r="B272" t="s">
        <v>43</v>
      </c>
      <c r="C272">
        <v>42</v>
      </c>
      <c r="D272" t="s">
        <v>85</v>
      </c>
      <c r="E272" t="s">
        <v>86</v>
      </c>
      <c r="F272" t="s">
        <v>46</v>
      </c>
      <c r="G272">
        <v>78152</v>
      </c>
      <c r="H272" s="1">
        <v>44577</v>
      </c>
      <c r="I272" t="s">
        <v>107</v>
      </c>
      <c r="J272" t="s">
        <v>91</v>
      </c>
      <c r="K272" t="s">
        <v>58</v>
      </c>
      <c r="L272">
        <v>14</v>
      </c>
      <c r="M272">
        <v>1</v>
      </c>
      <c r="N272">
        <v>4</v>
      </c>
      <c r="O272" t="s">
        <v>35</v>
      </c>
      <c r="P272" t="s">
        <v>36</v>
      </c>
      <c r="Q272">
        <v>151</v>
      </c>
      <c r="R272">
        <v>42</v>
      </c>
      <c r="S272">
        <v>29</v>
      </c>
      <c r="T272" t="s">
        <v>36</v>
      </c>
      <c r="U272" t="s">
        <v>37</v>
      </c>
      <c r="V272" t="s">
        <v>36</v>
      </c>
      <c r="W272" t="s">
        <v>126</v>
      </c>
      <c r="X272">
        <v>2022</v>
      </c>
      <c r="Y272" t="s">
        <v>94</v>
      </c>
      <c r="Z272" t="s">
        <v>70</v>
      </c>
      <c r="AA272" t="s">
        <v>52</v>
      </c>
    </row>
    <row r="273" spans="1:27" x14ac:dyDescent="0.3">
      <c r="A273" t="s">
        <v>392</v>
      </c>
      <c r="B273" t="s">
        <v>28</v>
      </c>
      <c r="C273">
        <v>21</v>
      </c>
      <c r="D273" t="s">
        <v>77</v>
      </c>
      <c r="E273" t="s">
        <v>182</v>
      </c>
      <c r="F273" t="s">
        <v>46</v>
      </c>
      <c r="G273">
        <v>96762</v>
      </c>
      <c r="H273" s="1">
        <v>45643</v>
      </c>
      <c r="I273" t="s">
        <v>57</v>
      </c>
      <c r="J273" t="s">
        <v>99</v>
      </c>
      <c r="K273" t="s">
        <v>58</v>
      </c>
      <c r="L273">
        <v>14</v>
      </c>
      <c r="M273">
        <v>1</v>
      </c>
      <c r="N273">
        <v>2</v>
      </c>
      <c r="O273" t="s">
        <v>50</v>
      </c>
      <c r="P273" t="s">
        <v>37</v>
      </c>
      <c r="Q273">
        <v>214</v>
      </c>
      <c r="R273">
        <v>47</v>
      </c>
      <c r="S273">
        <v>17</v>
      </c>
      <c r="T273" t="s">
        <v>36</v>
      </c>
      <c r="U273" t="s">
        <v>36</v>
      </c>
      <c r="V273" t="s">
        <v>36</v>
      </c>
      <c r="W273" t="s">
        <v>60</v>
      </c>
      <c r="X273">
        <v>2024</v>
      </c>
      <c r="Y273" t="s">
        <v>116</v>
      </c>
      <c r="Z273" t="s">
        <v>104</v>
      </c>
      <c r="AA273" t="s">
        <v>87</v>
      </c>
    </row>
    <row r="274" spans="1:27" x14ac:dyDescent="0.3">
      <c r="A274" t="s">
        <v>393</v>
      </c>
      <c r="B274" t="s">
        <v>28</v>
      </c>
      <c r="C274">
        <v>40</v>
      </c>
      <c r="D274" t="s">
        <v>65</v>
      </c>
      <c r="E274" t="s">
        <v>66</v>
      </c>
      <c r="F274" t="s">
        <v>46</v>
      </c>
      <c r="G274">
        <v>105975</v>
      </c>
      <c r="H274" s="1">
        <v>44433</v>
      </c>
      <c r="I274" t="s">
        <v>57</v>
      </c>
      <c r="J274" t="s">
        <v>67</v>
      </c>
      <c r="K274" t="s">
        <v>58</v>
      </c>
      <c r="L274">
        <v>9</v>
      </c>
      <c r="M274">
        <v>5</v>
      </c>
      <c r="N274">
        <v>3</v>
      </c>
      <c r="O274" t="s">
        <v>68</v>
      </c>
      <c r="P274" t="s">
        <v>37</v>
      </c>
      <c r="Q274">
        <v>230</v>
      </c>
      <c r="R274">
        <v>48</v>
      </c>
      <c r="S274">
        <v>30</v>
      </c>
      <c r="T274" t="s">
        <v>36</v>
      </c>
      <c r="U274" t="s">
        <v>36</v>
      </c>
      <c r="V274" t="s">
        <v>36</v>
      </c>
      <c r="W274" t="s">
        <v>60</v>
      </c>
      <c r="X274">
        <v>2021</v>
      </c>
      <c r="Y274" t="s">
        <v>128</v>
      </c>
      <c r="Z274" t="s">
        <v>62</v>
      </c>
      <c r="AA274" t="s">
        <v>87</v>
      </c>
    </row>
    <row r="275" spans="1:27" x14ac:dyDescent="0.3">
      <c r="A275" t="s">
        <v>394</v>
      </c>
      <c r="B275" t="s">
        <v>28</v>
      </c>
      <c r="C275">
        <v>32</v>
      </c>
      <c r="D275" t="s">
        <v>77</v>
      </c>
      <c r="E275" t="s">
        <v>138</v>
      </c>
      <c r="F275" t="s">
        <v>96</v>
      </c>
      <c r="G275">
        <v>121504</v>
      </c>
      <c r="H275" s="1">
        <v>44091</v>
      </c>
      <c r="I275" t="s">
        <v>32</v>
      </c>
      <c r="J275" t="s">
        <v>73</v>
      </c>
      <c r="K275" t="s">
        <v>34</v>
      </c>
      <c r="L275">
        <v>17</v>
      </c>
      <c r="M275">
        <v>4</v>
      </c>
      <c r="N275">
        <v>3</v>
      </c>
      <c r="O275" t="s">
        <v>68</v>
      </c>
      <c r="P275" t="s">
        <v>36</v>
      </c>
      <c r="Q275">
        <v>192</v>
      </c>
      <c r="R275">
        <v>22</v>
      </c>
      <c r="S275">
        <v>11</v>
      </c>
      <c r="T275" t="s">
        <v>36</v>
      </c>
      <c r="U275" t="s">
        <v>36</v>
      </c>
      <c r="V275" t="s">
        <v>36</v>
      </c>
      <c r="W275" t="s">
        <v>60</v>
      </c>
      <c r="X275">
        <v>2020</v>
      </c>
      <c r="Y275" t="s">
        <v>51</v>
      </c>
      <c r="Z275" t="s">
        <v>40</v>
      </c>
      <c r="AA275" t="s">
        <v>87</v>
      </c>
    </row>
    <row r="276" spans="1:27" x14ac:dyDescent="0.3">
      <c r="A276" t="s">
        <v>395</v>
      </c>
      <c r="B276" t="s">
        <v>43</v>
      </c>
      <c r="C276">
        <v>25</v>
      </c>
      <c r="D276" t="s">
        <v>85</v>
      </c>
      <c r="E276" t="s">
        <v>168</v>
      </c>
      <c r="F276" t="s">
        <v>46</v>
      </c>
      <c r="G276">
        <v>69444</v>
      </c>
      <c r="H276" s="1">
        <v>45649</v>
      </c>
      <c r="I276" t="s">
        <v>107</v>
      </c>
      <c r="J276" t="s">
        <v>118</v>
      </c>
      <c r="K276" t="s">
        <v>49</v>
      </c>
      <c r="L276">
        <v>13</v>
      </c>
      <c r="M276">
        <v>1</v>
      </c>
      <c r="N276">
        <v>2</v>
      </c>
      <c r="O276" t="s">
        <v>50</v>
      </c>
      <c r="P276" t="s">
        <v>36</v>
      </c>
      <c r="Q276">
        <v>257</v>
      </c>
      <c r="R276">
        <v>61</v>
      </c>
      <c r="S276">
        <v>25</v>
      </c>
      <c r="T276" t="s">
        <v>36</v>
      </c>
      <c r="U276" t="s">
        <v>36</v>
      </c>
      <c r="V276" t="s">
        <v>36</v>
      </c>
      <c r="W276" t="s">
        <v>60</v>
      </c>
      <c r="X276">
        <v>2024</v>
      </c>
      <c r="Y276" t="s">
        <v>116</v>
      </c>
      <c r="Z276" t="s">
        <v>104</v>
      </c>
      <c r="AA276" t="s">
        <v>52</v>
      </c>
    </row>
    <row r="277" spans="1:27" x14ac:dyDescent="0.3">
      <c r="A277" t="s">
        <v>396</v>
      </c>
      <c r="B277" t="s">
        <v>28</v>
      </c>
      <c r="C277">
        <v>35</v>
      </c>
      <c r="D277" t="s">
        <v>44</v>
      </c>
      <c r="E277" t="s">
        <v>219</v>
      </c>
      <c r="F277" t="s">
        <v>31</v>
      </c>
      <c r="G277">
        <v>48053</v>
      </c>
      <c r="H277" s="1">
        <v>45972</v>
      </c>
      <c r="I277" t="s">
        <v>32</v>
      </c>
      <c r="J277" t="s">
        <v>99</v>
      </c>
      <c r="K277" t="s">
        <v>49</v>
      </c>
      <c r="L277">
        <v>2</v>
      </c>
      <c r="M277">
        <v>5</v>
      </c>
      <c r="N277">
        <v>3</v>
      </c>
      <c r="O277" t="s">
        <v>35</v>
      </c>
      <c r="P277" t="s">
        <v>36</v>
      </c>
      <c r="Q277">
        <v>222</v>
      </c>
      <c r="R277">
        <v>66</v>
      </c>
      <c r="S277">
        <v>6</v>
      </c>
      <c r="T277" t="s">
        <v>36</v>
      </c>
      <c r="U277" t="s">
        <v>36</v>
      </c>
      <c r="V277" t="s">
        <v>36</v>
      </c>
      <c r="W277" t="s">
        <v>126</v>
      </c>
      <c r="X277">
        <v>2025</v>
      </c>
      <c r="Y277" t="s">
        <v>123</v>
      </c>
      <c r="Z277" t="s">
        <v>40</v>
      </c>
      <c r="AA277" t="s">
        <v>41</v>
      </c>
    </row>
    <row r="278" spans="1:27" x14ac:dyDescent="0.3">
      <c r="A278" t="s">
        <v>397</v>
      </c>
      <c r="B278" t="s">
        <v>43</v>
      </c>
      <c r="C278">
        <v>33</v>
      </c>
      <c r="D278" t="s">
        <v>85</v>
      </c>
      <c r="E278" t="s">
        <v>159</v>
      </c>
      <c r="F278" t="s">
        <v>96</v>
      </c>
      <c r="G278">
        <v>152108</v>
      </c>
      <c r="H278" s="1">
        <v>44136</v>
      </c>
      <c r="I278" t="s">
        <v>47</v>
      </c>
      <c r="J278" t="s">
        <v>33</v>
      </c>
      <c r="K278" t="s">
        <v>34</v>
      </c>
      <c r="L278">
        <v>10</v>
      </c>
      <c r="M278">
        <v>2</v>
      </c>
      <c r="N278">
        <v>2</v>
      </c>
      <c r="O278" t="s">
        <v>68</v>
      </c>
      <c r="P278" t="s">
        <v>37</v>
      </c>
      <c r="Q278">
        <v>202</v>
      </c>
      <c r="R278">
        <v>31</v>
      </c>
      <c r="S278">
        <v>4</v>
      </c>
      <c r="T278" t="s">
        <v>37</v>
      </c>
      <c r="U278" t="s">
        <v>37</v>
      </c>
      <c r="V278" t="s">
        <v>36</v>
      </c>
      <c r="W278" t="s">
        <v>126</v>
      </c>
      <c r="X278">
        <v>2020</v>
      </c>
      <c r="Y278" t="s">
        <v>123</v>
      </c>
      <c r="Z278" t="s">
        <v>40</v>
      </c>
      <c r="AA278" t="s">
        <v>105</v>
      </c>
    </row>
    <row r="279" spans="1:27" x14ac:dyDescent="0.3">
      <c r="A279" t="s">
        <v>398</v>
      </c>
      <c r="B279" t="s">
        <v>43</v>
      </c>
      <c r="C279">
        <v>27</v>
      </c>
      <c r="D279" t="s">
        <v>65</v>
      </c>
      <c r="E279" t="s">
        <v>72</v>
      </c>
      <c r="F279" t="s">
        <v>31</v>
      </c>
      <c r="G279">
        <v>56010</v>
      </c>
      <c r="H279" s="1">
        <v>43637</v>
      </c>
      <c r="I279" t="s">
        <v>98</v>
      </c>
      <c r="J279" t="s">
        <v>99</v>
      </c>
      <c r="K279" t="s">
        <v>34</v>
      </c>
      <c r="L279">
        <v>5</v>
      </c>
      <c r="M279">
        <v>5</v>
      </c>
      <c r="N279">
        <v>4</v>
      </c>
      <c r="O279" t="s">
        <v>35</v>
      </c>
      <c r="P279" t="s">
        <v>36</v>
      </c>
      <c r="Q279">
        <v>190</v>
      </c>
      <c r="R279">
        <v>62</v>
      </c>
      <c r="S279">
        <v>16</v>
      </c>
      <c r="T279" t="s">
        <v>37</v>
      </c>
      <c r="U279" t="s">
        <v>36</v>
      </c>
      <c r="V279" t="s">
        <v>36</v>
      </c>
      <c r="W279" t="s">
        <v>60</v>
      </c>
      <c r="X279">
        <v>2019</v>
      </c>
      <c r="Y279" t="s">
        <v>61</v>
      </c>
      <c r="Z279" t="s">
        <v>75</v>
      </c>
      <c r="AA279" t="s">
        <v>41</v>
      </c>
    </row>
    <row r="280" spans="1:27" x14ac:dyDescent="0.3">
      <c r="A280" t="s">
        <v>399</v>
      </c>
      <c r="B280" t="s">
        <v>43</v>
      </c>
      <c r="C280">
        <v>32</v>
      </c>
      <c r="D280" t="s">
        <v>29</v>
      </c>
      <c r="E280" t="s">
        <v>122</v>
      </c>
      <c r="F280" t="s">
        <v>56</v>
      </c>
      <c r="G280">
        <v>34221</v>
      </c>
      <c r="H280" s="1">
        <v>45266</v>
      </c>
      <c r="I280" t="s">
        <v>98</v>
      </c>
      <c r="J280" t="s">
        <v>99</v>
      </c>
      <c r="K280" t="s">
        <v>34</v>
      </c>
      <c r="L280">
        <v>2</v>
      </c>
      <c r="M280">
        <v>4</v>
      </c>
      <c r="N280">
        <v>3</v>
      </c>
      <c r="O280" t="s">
        <v>68</v>
      </c>
      <c r="P280" t="s">
        <v>36</v>
      </c>
      <c r="Q280">
        <v>209</v>
      </c>
      <c r="R280">
        <v>64</v>
      </c>
      <c r="S280">
        <v>28</v>
      </c>
      <c r="T280" t="s">
        <v>36</v>
      </c>
      <c r="U280" t="s">
        <v>36</v>
      </c>
      <c r="V280" t="s">
        <v>36</v>
      </c>
      <c r="W280" t="s">
        <v>126</v>
      </c>
      <c r="X280">
        <v>2023</v>
      </c>
      <c r="Y280" t="s">
        <v>116</v>
      </c>
      <c r="Z280" t="s">
        <v>40</v>
      </c>
      <c r="AA280" t="s">
        <v>63</v>
      </c>
    </row>
    <row r="281" spans="1:27" x14ac:dyDescent="0.3">
      <c r="A281" t="s">
        <v>400</v>
      </c>
      <c r="B281" t="s">
        <v>28</v>
      </c>
      <c r="C281">
        <v>29</v>
      </c>
      <c r="D281" t="s">
        <v>54</v>
      </c>
      <c r="E281" t="s">
        <v>111</v>
      </c>
      <c r="F281" t="s">
        <v>31</v>
      </c>
      <c r="G281">
        <v>54880</v>
      </c>
      <c r="H281" s="1">
        <v>44790</v>
      </c>
      <c r="I281" t="s">
        <v>57</v>
      </c>
      <c r="J281" t="s">
        <v>67</v>
      </c>
      <c r="K281" t="s">
        <v>49</v>
      </c>
      <c r="L281">
        <v>5</v>
      </c>
      <c r="M281">
        <v>4</v>
      </c>
      <c r="N281">
        <v>1</v>
      </c>
      <c r="O281" t="s">
        <v>68</v>
      </c>
      <c r="P281" t="s">
        <v>37</v>
      </c>
      <c r="Q281">
        <v>208</v>
      </c>
      <c r="R281">
        <v>20</v>
      </c>
      <c r="S281">
        <v>4</v>
      </c>
      <c r="T281" t="s">
        <v>37</v>
      </c>
      <c r="U281" t="s">
        <v>36</v>
      </c>
      <c r="V281" t="s">
        <v>36</v>
      </c>
      <c r="W281" t="s">
        <v>126</v>
      </c>
      <c r="X281">
        <v>2022</v>
      </c>
      <c r="Y281" t="s">
        <v>128</v>
      </c>
      <c r="Z281" t="s">
        <v>75</v>
      </c>
      <c r="AA281" t="s">
        <v>41</v>
      </c>
    </row>
    <row r="282" spans="1:27" x14ac:dyDescent="0.3">
      <c r="A282" t="s">
        <v>401</v>
      </c>
      <c r="B282" t="s">
        <v>43</v>
      </c>
      <c r="C282">
        <v>32</v>
      </c>
      <c r="D282" t="s">
        <v>54</v>
      </c>
      <c r="E282" t="s">
        <v>55</v>
      </c>
      <c r="F282" t="s">
        <v>31</v>
      </c>
      <c r="G282">
        <v>54408</v>
      </c>
      <c r="H282" s="1">
        <v>45024</v>
      </c>
      <c r="I282" t="s">
        <v>32</v>
      </c>
      <c r="J282" t="s">
        <v>73</v>
      </c>
      <c r="K282" t="s">
        <v>34</v>
      </c>
      <c r="L282">
        <v>6</v>
      </c>
      <c r="M282">
        <v>1</v>
      </c>
      <c r="N282">
        <v>2</v>
      </c>
      <c r="O282" t="s">
        <v>35</v>
      </c>
      <c r="P282" t="s">
        <v>36</v>
      </c>
      <c r="Q282">
        <v>222</v>
      </c>
      <c r="R282">
        <v>58</v>
      </c>
      <c r="S282">
        <v>11</v>
      </c>
      <c r="T282" t="s">
        <v>36</v>
      </c>
      <c r="U282" t="s">
        <v>36</v>
      </c>
      <c r="V282" t="s">
        <v>37</v>
      </c>
      <c r="W282" t="s">
        <v>38</v>
      </c>
      <c r="X282">
        <v>2023</v>
      </c>
      <c r="Y282" t="s">
        <v>69</v>
      </c>
      <c r="Z282" t="s">
        <v>40</v>
      </c>
      <c r="AA282" t="s">
        <v>41</v>
      </c>
    </row>
    <row r="283" spans="1:27" x14ac:dyDescent="0.3">
      <c r="A283" t="s">
        <v>402</v>
      </c>
      <c r="B283" t="s">
        <v>43</v>
      </c>
      <c r="C283">
        <v>36</v>
      </c>
      <c r="D283" t="s">
        <v>81</v>
      </c>
      <c r="E283" t="s">
        <v>113</v>
      </c>
      <c r="F283" t="s">
        <v>56</v>
      </c>
      <c r="G283">
        <v>32311</v>
      </c>
      <c r="H283" s="1">
        <v>43480</v>
      </c>
      <c r="I283" t="s">
        <v>98</v>
      </c>
      <c r="J283" t="s">
        <v>99</v>
      </c>
      <c r="K283" t="s">
        <v>34</v>
      </c>
      <c r="L283">
        <v>1</v>
      </c>
      <c r="M283">
        <v>5</v>
      </c>
      <c r="N283">
        <v>3</v>
      </c>
      <c r="O283" t="s">
        <v>59</v>
      </c>
      <c r="P283" t="s">
        <v>37</v>
      </c>
      <c r="Q283">
        <v>208</v>
      </c>
      <c r="R283">
        <v>35</v>
      </c>
      <c r="S283">
        <v>8</v>
      </c>
      <c r="T283" t="s">
        <v>36</v>
      </c>
      <c r="U283" t="s">
        <v>36</v>
      </c>
      <c r="V283" t="s">
        <v>36</v>
      </c>
      <c r="W283" t="s">
        <v>126</v>
      </c>
      <c r="X283">
        <v>2019</v>
      </c>
      <c r="Y283" t="s">
        <v>94</v>
      </c>
      <c r="Z283" t="s">
        <v>62</v>
      </c>
      <c r="AA283" t="s">
        <v>63</v>
      </c>
    </row>
    <row r="284" spans="1:27" x14ac:dyDescent="0.3">
      <c r="A284" t="s">
        <v>403</v>
      </c>
      <c r="B284" t="s">
        <v>43</v>
      </c>
      <c r="C284">
        <v>43</v>
      </c>
      <c r="D284" t="s">
        <v>77</v>
      </c>
      <c r="E284" t="s">
        <v>133</v>
      </c>
      <c r="F284" t="s">
        <v>56</v>
      </c>
      <c r="G284">
        <v>28215</v>
      </c>
      <c r="H284" s="1">
        <v>45707</v>
      </c>
      <c r="I284" t="s">
        <v>32</v>
      </c>
      <c r="J284" t="s">
        <v>99</v>
      </c>
      <c r="K284" t="s">
        <v>34</v>
      </c>
      <c r="L284">
        <v>1</v>
      </c>
      <c r="M284">
        <v>3</v>
      </c>
      <c r="N284">
        <v>5</v>
      </c>
      <c r="O284" t="s">
        <v>50</v>
      </c>
      <c r="P284" t="s">
        <v>36</v>
      </c>
      <c r="Q284">
        <v>221</v>
      </c>
      <c r="R284">
        <v>9</v>
      </c>
      <c r="S284">
        <v>6</v>
      </c>
      <c r="T284" t="s">
        <v>37</v>
      </c>
      <c r="U284" t="s">
        <v>36</v>
      </c>
      <c r="V284" t="s">
        <v>37</v>
      </c>
      <c r="W284" t="s">
        <v>38</v>
      </c>
      <c r="X284">
        <v>2025</v>
      </c>
      <c r="Y284" t="s">
        <v>39</v>
      </c>
      <c r="Z284" t="s">
        <v>70</v>
      </c>
      <c r="AA284" t="s">
        <v>63</v>
      </c>
    </row>
    <row r="285" spans="1:27" x14ac:dyDescent="0.3">
      <c r="A285" t="s">
        <v>404</v>
      </c>
      <c r="B285" t="s">
        <v>43</v>
      </c>
      <c r="C285">
        <v>23</v>
      </c>
      <c r="D285" t="s">
        <v>65</v>
      </c>
      <c r="E285" t="s">
        <v>120</v>
      </c>
      <c r="F285" t="s">
        <v>56</v>
      </c>
      <c r="G285">
        <v>31568</v>
      </c>
      <c r="H285" s="1">
        <v>44196</v>
      </c>
      <c r="I285" t="s">
        <v>98</v>
      </c>
      <c r="J285" t="s">
        <v>91</v>
      </c>
      <c r="K285" t="s">
        <v>58</v>
      </c>
      <c r="L285">
        <v>3</v>
      </c>
      <c r="M285">
        <v>2</v>
      </c>
      <c r="N285">
        <v>3</v>
      </c>
      <c r="O285" t="s">
        <v>35</v>
      </c>
      <c r="P285" t="s">
        <v>36</v>
      </c>
      <c r="Q285">
        <v>234</v>
      </c>
      <c r="R285">
        <v>43</v>
      </c>
      <c r="S285">
        <v>12</v>
      </c>
      <c r="T285" t="s">
        <v>36</v>
      </c>
      <c r="U285" t="s">
        <v>36</v>
      </c>
      <c r="V285" t="s">
        <v>36</v>
      </c>
      <c r="W285" t="s">
        <v>126</v>
      </c>
      <c r="X285">
        <v>2020</v>
      </c>
      <c r="Y285" t="s">
        <v>116</v>
      </c>
      <c r="Z285" t="s">
        <v>104</v>
      </c>
      <c r="AA285" t="s">
        <v>63</v>
      </c>
    </row>
    <row r="286" spans="1:27" x14ac:dyDescent="0.3">
      <c r="A286" t="s">
        <v>405</v>
      </c>
      <c r="B286" t="s">
        <v>28</v>
      </c>
      <c r="C286">
        <v>46</v>
      </c>
      <c r="D286" t="s">
        <v>77</v>
      </c>
      <c r="E286" t="s">
        <v>182</v>
      </c>
      <c r="F286" t="s">
        <v>46</v>
      </c>
      <c r="G286">
        <v>95855</v>
      </c>
      <c r="H286" s="1">
        <v>43965</v>
      </c>
      <c r="I286" t="s">
        <v>98</v>
      </c>
      <c r="J286" t="s">
        <v>99</v>
      </c>
      <c r="K286" t="s">
        <v>58</v>
      </c>
      <c r="L286">
        <v>7</v>
      </c>
      <c r="M286">
        <v>3</v>
      </c>
      <c r="N286">
        <v>3</v>
      </c>
      <c r="O286" t="s">
        <v>35</v>
      </c>
      <c r="P286" t="s">
        <v>36</v>
      </c>
      <c r="Q286">
        <v>202</v>
      </c>
      <c r="R286">
        <v>66</v>
      </c>
      <c r="S286">
        <v>25</v>
      </c>
      <c r="T286" t="s">
        <v>36</v>
      </c>
      <c r="U286" t="s">
        <v>36</v>
      </c>
      <c r="V286" t="s">
        <v>36</v>
      </c>
      <c r="W286" t="s">
        <v>60</v>
      </c>
      <c r="X286">
        <v>2020</v>
      </c>
      <c r="Y286" t="s">
        <v>74</v>
      </c>
      <c r="Z286" t="s">
        <v>70</v>
      </c>
      <c r="AA286" t="s">
        <v>87</v>
      </c>
    </row>
    <row r="287" spans="1:27" x14ac:dyDescent="0.3">
      <c r="A287" t="s">
        <v>406</v>
      </c>
      <c r="B287" t="s">
        <v>43</v>
      </c>
      <c r="C287">
        <v>21</v>
      </c>
      <c r="D287" t="s">
        <v>65</v>
      </c>
      <c r="E287" t="s">
        <v>66</v>
      </c>
      <c r="F287" t="s">
        <v>46</v>
      </c>
      <c r="G287">
        <v>73500</v>
      </c>
      <c r="H287" s="1">
        <v>45770</v>
      </c>
      <c r="I287" t="s">
        <v>32</v>
      </c>
      <c r="J287" t="s">
        <v>33</v>
      </c>
      <c r="K287" t="s">
        <v>34</v>
      </c>
      <c r="L287">
        <v>14</v>
      </c>
      <c r="M287">
        <v>4</v>
      </c>
      <c r="N287">
        <v>5</v>
      </c>
      <c r="O287" t="s">
        <v>50</v>
      </c>
      <c r="P287" t="s">
        <v>36</v>
      </c>
      <c r="Q287">
        <v>230</v>
      </c>
      <c r="R287">
        <v>29</v>
      </c>
      <c r="S287">
        <v>2</v>
      </c>
      <c r="T287" t="s">
        <v>37</v>
      </c>
      <c r="U287" t="s">
        <v>36</v>
      </c>
      <c r="V287" t="s">
        <v>36</v>
      </c>
      <c r="W287" t="s">
        <v>60</v>
      </c>
      <c r="X287">
        <v>2025</v>
      </c>
      <c r="Y287" t="s">
        <v>69</v>
      </c>
      <c r="Z287" t="s">
        <v>104</v>
      </c>
      <c r="AA287" t="s">
        <v>52</v>
      </c>
    </row>
    <row r="288" spans="1:27" x14ac:dyDescent="0.3">
      <c r="A288" t="s">
        <v>407</v>
      </c>
      <c r="B288" t="s">
        <v>43</v>
      </c>
      <c r="C288">
        <v>30</v>
      </c>
      <c r="D288" t="s">
        <v>54</v>
      </c>
      <c r="E288" t="s">
        <v>111</v>
      </c>
      <c r="F288" t="s">
        <v>96</v>
      </c>
      <c r="G288">
        <v>144269</v>
      </c>
      <c r="H288" s="1">
        <v>44833</v>
      </c>
      <c r="I288" t="s">
        <v>107</v>
      </c>
      <c r="J288" t="s">
        <v>67</v>
      </c>
      <c r="K288" t="s">
        <v>58</v>
      </c>
      <c r="L288">
        <v>8</v>
      </c>
      <c r="M288">
        <v>3</v>
      </c>
      <c r="N288">
        <v>5</v>
      </c>
      <c r="O288" t="s">
        <v>50</v>
      </c>
      <c r="P288" t="s">
        <v>36</v>
      </c>
      <c r="Q288">
        <v>177</v>
      </c>
      <c r="R288">
        <v>43</v>
      </c>
      <c r="S288">
        <v>18</v>
      </c>
      <c r="T288" t="s">
        <v>36</v>
      </c>
      <c r="U288" t="s">
        <v>37</v>
      </c>
      <c r="V288" t="s">
        <v>36</v>
      </c>
      <c r="W288" t="s">
        <v>60</v>
      </c>
      <c r="X288">
        <v>2022</v>
      </c>
      <c r="Y288" t="s">
        <v>51</v>
      </c>
      <c r="Z288" t="s">
        <v>75</v>
      </c>
      <c r="AA288" t="s">
        <v>105</v>
      </c>
    </row>
    <row r="289" spans="1:27" x14ac:dyDescent="0.3">
      <c r="A289" t="s">
        <v>408</v>
      </c>
      <c r="B289" t="s">
        <v>28</v>
      </c>
      <c r="C289">
        <v>36</v>
      </c>
      <c r="D289" t="s">
        <v>54</v>
      </c>
      <c r="E289" t="s">
        <v>207</v>
      </c>
      <c r="F289" t="s">
        <v>46</v>
      </c>
      <c r="G289">
        <v>90955</v>
      </c>
      <c r="H289" s="1">
        <v>45989</v>
      </c>
      <c r="I289" t="s">
        <v>47</v>
      </c>
      <c r="J289" t="s">
        <v>101</v>
      </c>
      <c r="K289" t="s">
        <v>58</v>
      </c>
      <c r="L289">
        <v>14</v>
      </c>
      <c r="M289">
        <v>1</v>
      </c>
      <c r="N289">
        <v>2</v>
      </c>
      <c r="O289" t="s">
        <v>68</v>
      </c>
      <c r="P289" t="s">
        <v>37</v>
      </c>
      <c r="Q289">
        <v>192</v>
      </c>
      <c r="R289">
        <v>66</v>
      </c>
      <c r="S289">
        <v>6</v>
      </c>
      <c r="T289" t="s">
        <v>36</v>
      </c>
      <c r="U289" t="s">
        <v>36</v>
      </c>
      <c r="V289" t="s">
        <v>36</v>
      </c>
      <c r="W289" t="s">
        <v>126</v>
      </c>
      <c r="X289">
        <v>2025</v>
      </c>
      <c r="Y289" t="s">
        <v>123</v>
      </c>
      <c r="Z289" t="s">
        <v>62</v>
      </c>
      <c r="AA289" t="s">
        <v>87</v>
      </c>
    </row>
    <row r="290" spans="1:27" x14ac:dyDescent="0.3">
      <c r="A290" t="s">
        <v>409</v>
      </c>
      <c r="B290" t="s">
        <v>43</v>
      </c>
      <c r="C290">
        <v>33</v>
      </c>
      <c r="D290" t="s">
        <v>89</v>
      </c>
      <c r="E290" t="s">
        <v>130</v>
      </c>
      <c r="F290" t="s">
        <v>56</v>
      </c>
      <c r="G290">
        <v>37808</v>
      </c>
      <c r="H290" s="1">
        <v>45740</v>
      </c>
      <c r="I290" t="s">
        <v>107</v>
      </c>
      <c r="J290" t="s">
        <v>48</v>
      </c>
      <c r="K290" t="s">
        <v>58</v>
      </c>
      <c r="L290">
        <v>2</v>
      </c>
      <c r="M290">
        <v>5</v>
      </c>
      <c r="N290">
        <v>1</v>
      </c>
      <c r="O290" t="s">
        <v>50</v>
      </c>
      <c r="P290" t="s">
        <v>37</v>
      </c>
      <c r="Q290">
        <v>223</v>
      </c>
      <c r="R290">
        <v>8</v>
      </c>
      <c r="S290">
        <v>12</v>
      </c>
      <c r="T290" t="s">
        <v>36</v>
      </c>
      <c r="U290" t="s">
        <v>36</v>
      </c>
      <c r="V290" t="s">
        <v>36</v>
      </c>
      <c r="W290" t="s">
        <v>60</v>
      </c>
      <c r="X290">
        <v>2025</v>
      </c>
      <c r="Y290" t="s">
        <v>142</v>
      </c>
      <c r="Z290" t="s">
        <v>40</v>
      </c>
      <c r="AA290" t="s">
        <v>63</v>
      </c>
    </row>
    <row r="291" spans="1:27" x14ac:dyDescent="0.3">
      <c r="A291" t="s">
        <v>410</v>
      </c>
      <c r="B291" t="s">
        <v>43</v>
      </c>
      <c r="C291">
        <v>27</v>
      </c>
      <c r="D291" t="s">
        <v>85</v>
      </c>
      <c r="E291" t="s">
        <v>86</v>
      </c>
      <c r="F291" t="s">
        <v>46</v>
      </c>
      <c r="G291">
        <v>85611</v>
      </c>
      <c r="H291" s="1">
        <v>44578</v>
      </c>
      <c r="I291" t="s">
        <v>107</v>
      </c>
      <c r="J291" t="s">
        <v>33</v>
      </c>
      <c r="K291" t="s">
        <v>34</v>
      </c>
      <c r="L291">
        <v>5</v>
      </c>
      <c r="M291">
        <v>4</v>
      </c>
      <c r="N291">
        <v>1</v>
      </c>
      <c r="O291" t="s">
        <v>50</v>
      </c>
      <c r="P291" t="s">
        <v>36</v>
      </c>
      <c r="Q291">
        <v>180</v>
      </c>
      <c r="R291">
        <v>27</v>
      </c>
      <c r="S291">
        <v>5</v>
      </c>
      <c r="T291" t="s">
        <v>36</v>
      </c>
      <c r="U291" t="s">
        <v>36</v>
      </c>
      <c r="V291" t="s">
        <v>36</v>
      </c>
      <c r="W291" t="s">
        <v>60</v>
      </c>
      <c r="X291">
        <v>2022</v>
      </c>
      <c r="Y291" t="s">
        <v>94</v>
      </c>
      <c r="Z291" t="s">
        <v>75</v>
      </c>
      <c r="AA291" t="s">
        <v>52</v>
      </c>
    </row>
    <row r="292" spans="1:27" x14ac:dyDescent="0.3">
      <c r="A292" t="s">
        <v>411</v>
      </c>
      <c r="B292" t="s">
        <v>28</v>
      </c>
      <c r="C292">
        <v>30</v>
      </c>
      <c r="D292" t="s">
        <v>54</v>
      </c>
      <c r="E292" t="s">
        <v>55</v>
      </c>
      <c r="F292" t="s">
        <v>56</v>
      </c>
      <c r="G292">
        <v>43815</v>
      </c>
      <c r="H292" s="1">
        <v>44245</v>
      </c>
      <c r="I292" t="s">
        <v>32</v>
      </c>
      <c r="J292" t="s">
        <v>48</v>
      </c>
      <c r="K292" t="s">
        <v>34</v>
      </c>
      <c r="L292">
        <v>1</v>
      </c>
      <c r="M292">
        <v>3</v>
      </c>
      <c r="N292">
        <v>4</v>
      </c>
      <c r="O292" t="s">
        <v>68</v>
      </c>
      <c r="P292" t="s">
        <v>36</v>
      </c>
      <c r="Q292">
        <v>217</v>
      </c>
      <c r="R292">
        <v>31</v>
      </c>
      <c r="S292">
        <v>25</v>
      </c>
      <c r="T292" t="s">
        <v>37</v>
      </c>
      <c r="U292" t="s">
        <v>36</v>
      </c>
      <c r="V292" t="s">
        <v>36</v>
      </c>
      <c r="W292" t="s">
        <v>126</v>
      </c>
      <c r="X292">
        <v>2021</v>
      </c>
      <c r="Y292" t="s">
        <v>39</v>
      </c>
      <c r="Z292" t="s">
        <v>75</v>
      </c>
      <c r="AA292" t="s">
        <v>41</v>
      </c>
    </row>
    <row r="293" spans="1:27" x14ac:dyDescent="0.3">
      <c r="A293" t="s">
        <v>412</v>
      </c>
      <c r="B293" t="s">
        <v>43</v>
      </c>
      <c r="C293">
        <v>28</v>
      </c>
      <c r="D293" t="s">
        <v>54</v>
      </c>
      <c r="E293" t="s">
        <v>153</v>
      </c>
      <c r="F293" t="s">
        <v>46</v>
      </c>
      <c r="G293">
        <v>67885</v>
      </c>
      <c r="H293" s="1">
        <v>43822</v>
      </c>
      <c r="I293" t="s">
        <v>107</v>
      </c>
      <c r="J293" t="s">
        <v>33</v>
      </c>
      <c r="K293" t="s">
        <v>49</v>
      </c>
      <c r="L293">
        <v>14</v>
      </c>
      <c r="M293">
        <v>3</v>
      </c>
      <c r="N293">
        <v>4</v>
      </c>
      <c r="O293" t="s">
        <v>68</v>
      </c>
      <c r="P293" t="s">
        <v>37</v>
      </c>
      <c r="Q293">
        <v>163</v>
      </c>
      <c r="R293">
        <v>29</v>
      </c>
      <c r="S293">
        <v>11</v>
      </c>
      <c r="T293" t="s">
        <v>36</v>
      </c>
      <c r="U293" t="s">
        <v>36</v>
      </c>
      <c r="V293" t="s">
        <v>37</v>
      </c>
      <c r="W293" t="s">
        <v>38</v>
      </c>
      <c r="X293">
        <v>2019</v>
      </c>
      <c r="Y293" t="s">
        <v>116</v>
      </c>
      <c r="Z293" t="s">
        <v>75</v>
      </c>
      <c r="AA293" t="s">
        <v>52</v>
      </c>
    </row>
    <row r="294" spans="1:27" x14ac:dyDescent="0.3">
      <c r="A294" t="s">
        <v>413</v>
      </c>
      <c r="B294" t="s">
        <v>43</v>
      </c>
      <c r="C294">
        <v>27</v>
      </c>
      <c r="D294" t="s">
        <v>89</v>
      </c>
      <c r="E294" t="s">
        <v>203</v>
      </c>
      <c r="F294" t="s">
        <v>46</v>
      </c>
      <c r="G294">
        <v>74785</v>
      </c>
      <c r="H294" s="1">
        <v>44586</v>
      </c>
      <c r="I294" t="s">
        <v>107</v>
      </c>
      <c r="J294" t="s">
        <v>91</v>
      </c>
      <c r="K294" t="s">
        <v>49</v>
      </c>
      <c r="L294">
        <v>7</v>
      </c>
      <c r="M294">
        <v>1</v>
      </c>
      <c r="N294">
        <v>1</v>
      </c>
      <c r="O294" t="s">
        <v>68</v>
      </c>
      <c r="P294" t="s">
        <v>36</v>
      </c>
      <c r="Q294">
        <v>221</v>
      </c>
      <c r="R294">
        <v>41</v>
      </c>
      <c r="S294">
        <v>20</v>
      </c>
      <c r="T294" t="s">
        <v>37</v>
      </c>
      <c r="U294" t="s">
        <v>37</v>
      </c>
      <c r="V294" t="s">
        <v>36</v>
      </c>
      <c r="W294" t="s">
        <v>60</v>
      </c>
      <c r="X294">
        <v>2022</v>
      </c>
      <c r="Y294" t="s">
        <v>94</v>
      </c>
      <c r="Z294" t="s">
        <v>75</v>
      </c>
      <c r="AA294" t="s">
        <v>52</v>
      </c>
    </row>
    <row r="295" spans="1:27" x14ac:dyDescent="0.3">
      <c r="A295" t="s">
        <v>414</v>
      </c>
      <c r="B295" t="s">
        <v>28</v>
      </c>
      <c r="C295">
        <v>37</v>
      </c>
      <c r="D295" t="s">
        <v>81</v>
      </c>
      <c r="E295" t="s">
        <v>82</v>
      </c>
      <c r="F295" t="s">
        <v>96</v>
      </c>
      <c r="G295">
        <v>96648</v>
      </c>
      <c r="H295" s="1">
        <v>43584</v>
      </c>
      <c r="I295" t="s">
        <v>47</v>
      </c>
      <c r="J295" t="s">
        <v>73</v>
      </c>
      <c r="K295" t="s">
        <v>34</v>
      </c>
      <c r="L295">
        <v>10</v>
      </c>
      <c r="M295">
        <v>4</v>
      </c>
      <c r="N295">
        <v>1</v>
      </c>
      <c r="O295" t="s">
        <v>59</v>
      </c>
      <c r="P295" t="s">
        <v>37</v>
      </c>
      <c r="Q295">
        <v>199</v>
      </c>
      <c r="R295">
        <v>50</v>
      </c>
      <c r="S295">
        <v>11</v>
      </c>
      <c r="T295" t="s">
        <v>36</v>
      </c>
      <c r="U295" t="s">
        <v>37</v>
      </c>
      <c r="V295" t="s">
        <v>37</v>
      </c>
      <c r="W295" t="s">
        <v>38</v>
      </c>
      <c r="X295">
        <v>2019</v>
      </c>
      <c r="Y295" t="s">
        <v>69</v>
      </c>
      <c r="Z295" t="s">
        <v>62</v>
      </c>
      <c r="AA295" t="s">
        <v>87</v>
      </c>
    </row>
    <row r="296" spans="1:27" x14ac:dyDescent="0.3">
      <c r="A296" t="s">
        <v>415</v>
      </c>
      <c r="B296" t="s">
        <v>28</v>
      </c>
      <c r="C296">
        <v>34</v>
      </c>
      <c r="D296" t="s">
        <v>54</v>
      </c>
      <c r="E296" t="s">
        <v>55</v>
      </c>
      <c r="F296" t="s">
        <v>31</v>
      </c>
      <c r="G296">
        <v>45044</v>
      </c>
      <c r="H296" s="1">
        <v>45384</v>
      </c>
      <c r="I296" t="s">
        <v>32</v>
      </c>
      <c r="J296" t="s">
        <v>73</v>
      </c>
      <c r="K296" t="s">
        <v>34</v>
      </c>
      <c r="L296">
        <v>7</v>
      </c>
      <c r="M296">
        <v>1</v>
      </c>
      <c r="N296">
        <v>4</v>
      </c>
      <c r="O296" t="s">
        <v>50</v>
      </c>
      <c r="P296" t="s">
        <v>36</v>
      </c>
      <c r="Q296">
        <v>237</v>
      </c>
      <c r="R296">
        <v>51</v>
      </c>
      <c r="S296">
        <v>14</v>
      </c>
      <c r="T296" t="s">
        <v>37</v>
      </c>
      <c r="U296" t="s">
        <v>36</v>
      </c>
      <c r="V296" t="s">
        <v>36</v>
      </c>
      <c r="W296" t="s">
        <v>60</v>
      </c>
      <c r="X296">
        <v>2024</v>
      </c>
      <c r="Y296" t="s">
        <v>69</v>
      </c>
      <c r="Z296" t="s">
        <v>40</v>
      </c>
      <c r="AA296" t="s">
        <v>41</v>
      </c>
    </row>
    <row r="297" spans="1:27" x14ac:dyDescent="0.3">
      <c r="A297" t="s">
        <v>416</v>
      </c>
      <c r="B297" t="s">
        <v>43</v>
      </c>
      <c r="C297">
        <v>27</v>
      </c>
      <c r="D297" t="s">
        <v>89</v>
      </c>
      <c r="E297" t="s">
        <v>130</v>
      </c>
      <c r="F297" t="s">
        <v>56</v>
      </c>
      <c r="G297">
        <v>30141</v>
      </c>
      <c r="H297" s="1">
        <v>43928</v>
      </c>
      <c r="I297" t="s">
        <v>107</v>
      </c>
      <c r="J297" t="s">
        <v>73</v>
      </c>
      <c r="K297" t="s">
        <v>34</v>
      </c>
      <c r="L297">
        <v>3</v>
      </c>
      <c r="M297">
        <v>3</v>
      </c>
      <c r="N297">
        <v>4</v>
      </c>
      <c r="O297" t="s">
        <v>35</v>
      </c>
      <c r="P297" t="s">
        <v>36</v>
      </c>
      <c r="Q297">
        <v>258</v>
      </c>
      <c r="R297">
        <v>56</v>
      </c>
      <c r="S297">
        <v>28</v>
      </c>
      <c r="T297" t="s">
        <v>36</v>
      </c>
      <c r="U297" t="s">
        <v>36</v>
      </c>
      <c r="V297" t="s">
        <v>36</v>
      </c>
      <c r="W297" t="s">
        <v>60</v>
      </c>
      <c r="X297">
        <v>2020</v>
      </c>
      <c r="Y297" t="s">
        <v>69</v>
      </c>
      <c r="Z297" t="s">
        <v>75</v>
      </c>
      <c r="AA297" t="s">
        <v>63</v>
      </c>
    </row>
    <row r="298" spans="1:27" x14ac:dyDescent="0.3">
      <c r="A298" t="s">
        <v>417</v>
      </c>
      <c r="B298" t="s">
        <v>43</v>
      </c>
      <c r="C298">
        <v>38</v>
      </c>
      <c r="D298" t="s">
        <v>54</v>
      </c>
      <c r="E298" t="s">
        <v>207</v>
      </c>
      <c r="F298" t="s">
        <v>96</v>
      </c>
      <c r="G298">
        <v>142535</v>
      </c>
      <c r="H298" s="1">
        <v>45159</v>
      </c>
      <c r="I298" t="s">
        <v>47</v>
      </c>
      <c r="J298" t="s">
        <v>48</v>
      </c>
      <c r="K298" t="s">
        <v>49</v>
      </c>
      <c r="L298">
        <v>17</v>
      </c>
      <c r="M298">
        <v>2</v>
      </c>
      <c r="N298">
        <v>5</v>
      </c>
      <c r="O298" t="s">
        <v>68</v>
      </c>
      <c r="P298" t="s">
        <v>37</v>
      </c>
      <c r="Q298">
        <v>220</v>
      </c>
      <c r="R298">
        <v>80</v>
      </c>
      <c r="S298">
        <v>15</v>
      </c>
      <c r="T298" t="s">
        <v>36</v>
      </c>
      <c r="U298" t="s">
        <v>36</v>
      </c>
      <c r="V298" t="s">
        <v>36</v>
      </c>
      <c r="W298" t="s">
        <v>60</v>
      </c>
      <c r="X298">
        <v>2023</v>
      </c>
      <c r="Y298" t="s">
        <v>128</v>
      </c>
      <c r="Z298" t="s">
        <v>62</v>
      </c>
      <c r="AA298" t="s">
        <v>105</v>
      </c>
    </row>
    <row r="299" spans="1:27" x14ac:dyDescent="0.3">
      <c r="A299" t="s">
        <v>418</v>
      </c>
      <c r="B299" t="s">
        <v>28</v>
      </c>
      <c r="C299">
        <v>34</v>
      </c>
      <c r="D299" t="s">
        <v>85</v>
      </c>
      <c r="E299" t="s">
        <v>86</v>
      </c>
      <c r="F299" t="s">
        <v>96</v>
      </c>
      <c r="G299">
        <v>104984</v>
      </c>
      <c r="H299" s="1">
        <v>45907</v>
      </c>
      <c r="I299" t="s">
        <v>47</v>
      </c>
      <c r="J299" t="s">
        <v>48</v>
      </c>
      <c r="K299" t="s">
        <v>34</v>
      </c>
      <c r="L299">
        <v>17</v>
      </c>
      <c r="M299">
        <v>4</v>
      </c>
      <c r="N299">
        <v>3</v>
      </c>
      <c r="O299" t="s">
        <v>35</v>
      </c>
      <c r="P299" t="s">
        <v>36</v>
      </c>
      <c r="Q299">
        <v>162</v>
      </c>
      <c r="R299">
        <v>53</v>
      </c>
      <c r="S299">
        <v>12</v>
      </c>
      <c r="T299" t="s">
        <v>36</v>
      </c>
      <c r="U299" t="s">
        <v>36</v>
      </c>
      <c r="V299" t="s">
        <v>36</v>
      </c>
      <c r="W299" t="s">
        <v>60</v>
      </c>
      <c r="X299">
        <v>2025</v>
      </c>
      <c r="Y299" t="s">
        <v>51</v>
      </c>
      <c r="Z299" t="s">
        <v>40</v>
      </c>
      <c r="AA299" t="s">
        <v>87</v>
      </c>
    </row>
    <row r="300" spans="1:27" x14ac:dyDescent="0.3">
      <c r="A300" t="s">
        <v>419</v>
      </c>
      <c r="B300" t="s">
        <v>28</v>
      </c>
      <c r="C300">
        <v>37</v>
      </c>
      <c r="D300" t="s">
        <v>44</v>
      </c>
      <c r="E300" t="s">
        <v>115</v>
      </c>
      <c r="F300" t="s">
        <v>56</v>
      </c>
      <c r="G300">
        <v>32807</v>
      </c>
      <c r="H300" s="1">
        <v>45321</v>
      </c>
      <c r="I300" t="s">
        <v>107</v>
      </c>
      <c r="J300" t="s">
        <v>67</v>
      </c>
      <c r="K300" t="s">
        <v>34</v>
      </c>
      <c r="L300">
        <v>1</v>
      </c>
      <c r="M300">
        <v>5</v>
      </c>
      <c r="N300">
        <v>3</v>
      </c>
      <c r="O300" t="s">
        <v>50</v>
      </c>
      <c r="P300" t="s">
        <v>36</v>
      </c>
      <c r="Q300">
        <v>228</v>
      </c>
      <c r="R300">
        <v>60</v>
      </c>
      <c r="S300">
        <v>24</v>
      </c>
      <c r="T300" t="s">
        <v>36</v>
      </c>
      <c r="U300" t="s">
        <v>36</v>
      </c>
      <c r="V300" t="s">
        <v>36</v>
      </c>
      <c r="W300" t="s">
        <v>60</v>
      </c>
      <c r="X300">
        <v>2024</v>
      </c>
      <c r="Y300" t="s">
        <v>94</v>
      </c>
      <c r="Z300" t="s">
        <v>62</v>
      </c>
      <c r="AA300" t="s">
        <v>63</v>
      </c>
    </row>
    <row r="301" spans="1:27" x14ac:dyDescent="0.3">
      <c r="A301" t="s">
        <v>420</v>
      </c>
      <c r="B301" t="s">
        <v>28</v>
      </c>
      <c r="C301">
        <v>36</v>
      </c>
      <c r="D301" t="s">
        <v>77</v>
      </c>
      <c r="E301" t="s">
        <v>138</v>
      </c>
      <c r="F301" t="s">
        <v>46</v>
      </c>
      <c r="G301">
        <v>69090</v>
      </c>
      <c r="H301" s="1">
        <v>45714</v>
      </c>
      <c r="I301" t="s">
        <v>107</v>
      </c>
      <c r="J301" t="s">
        <v>99</v>
      </c>
      <c r="K301" t="s">
        <v>58</v>
      </c>
      <c r="L301">
        <v>10</v>
      </c>
      <c r="M301">
        <v>1</v>
      </c>
      <c r="N301">
        <v>1</v>
      </c>
      <c r="O301" t="s">
        <v>59</v>
      </c>
      <c r="P301" t="s">
        <v>36</v>
      </c>
      <c r="Q301">
        <v>221</v>
      </c>
      <c r="R301">
        <v>80</v>
      </c>
      <c r="S301">
        <v>14</v>
      </c>
      <c r="T301" t="s">
        <v>36</v>
      </c>
      <c r="U301" t="s">
        <v>36</v>
      </c>
      <c r="V301" t="s">
        <v>37</v>
      </c>
      <c r="W301" t="s">
        <v>38</v>
      </c>
      <c r="X301">
        <v>2025</v>
      </c>
      <c r="Y301" t="s">
        <v>39</v>
      </c>
      <c r="Z301" t="s">
        <v>62</v>
      </c>
      <c r="AA301" t="s">
        <v>52</v>
      </c>
    </row>
    <row r="302" spans="1:27" x14ac:dyDescent="0.3">
      <c r="A302" t="s">
        <v>421</v>
      </c>
      <c r="B302" t="s">
        <v>43</v>
      </c>
      <c r="C302">
        <v>26</v>
      </c>
      <c r="D302" t="s">
        <v>77</v>
      </c>
      <c r="E302" t="s">
        <v>133</v>
      </c>
      <c r="F302" t="s">
        <v>96</v>
      </c>
      <c r="G302">
        <v>147041</v>
      </c>
      <c r="H302" s="1">
        <v>44331</v>
      </c>
      <c r="I302" t="s">
        <v>107</v>
      </c>
      <c r="J302" t="s">
        <v>118</v>
      </c>
      <c r="K302" t="s">
        <v>58</v>
      </c>
      <c r="L302">
        <v>16</v>
      </c>
      <c r="M302">
        <v>2</v>
      </c>
      <c r="N302">
        <v>4</v>
      </c>
      <c r="O302" t="s">
        <v>50</v>
      </c>
      <c r="P302" t="s">
        <v>37</v>
      </c>
      <c r="Q302">
        <v>174</v>
      </c>
      <c r="R302">
        <v>21</v>
      </c>
      <c r="S302">
        <v>6</v>
      </c>
      <c r="T302" t="s">
        <v>37</v>
      </c>
      <c r="U302" t="s">
        <v>36</v>
      </c>
      <c r="V302" t="s">
        <v>36</v>
      </c>
      <c r="W302" t="s">
        <v>60</v>
      </c>
      <c r="X302">
        <v>2021</v>
      </c>
      <c r="Y302" t="s">
        <v>74</v>
      </c>
      <c r="Z302" t="s">
        <v>75</v>
      </c>
      <c r="AA302" t="s">
        <v>105</v>
      </c>
    </row>
    <row r="303" spans="1:27" x14ac:dyDescent="0.3">
      <c r="A303" t="s">
        <v>422</v>
      </c>
      <c r="B303" t="s">
        <v>28</v>
      </c>
      <c r="C303">
        <v>28</v>
      </c>
      <c r="D303" t="s">
        <v>85</v>
      </c>
      <c r="E303" t="s">
        <v>159</v>
      </c>
      <c r="F303" t="s">
        <v>96</v>
      </c>
      <c r="G303">
        <v>107796</v>
      </c>
      <c r="H303" s="1">
        <v>44028</v>
      </c>
      <c r="I303" t="s">
        <v>47</v>
      </c>
      <c r="J303" t="s">
        <v>118</v>
      </c>
      <c r="K303" t="s">
        <v>34</v>
      </c>
      <c r="L303">
        <v>9</v>
      </c>
      <c r="M303">
        <v>4</v>
      </c>
      <c r="N303">
        <v>4</v>
      </c>
      <c r="O303" t="s">
        <v>59</v>
      </c>
      <c r="P303" t="s">
        <v>36</v>
      </c>
      <c r="Q303">
        <v>227</v>
      </c>
      <c r="R303">
        <v>54</v>
      </c>
      <c r="S303">
        <v>13</v>
      </c>
      <c r="T303" t="s">
        <v>37</v>
      </c>
      <c r="U303" t="s">
        <v>36</v>
      </c>
      <c r="V303" t="s">
        <v>36</v>
      </c>
      <c r="W303" t="s">
        <v>60</v>
      </c>
      <c r="X303">
        <v>2020</v>
      </c>
      <c r="Y303" t="s">
        <v>79</v>
      </c>
      <c r="Z303" t="s">
        <v>75</v>
      </c>
      <c r="AA303" t="s">
        <v>87</v>
      </c>
    </row>
    <row r="304" spans="1:27" x14ac:dyDescent="0.3">
      <c r="A304" t="s">
        <v>423</v>
      </c>
      <c r="B304" t="s">
        <v>43</v>
      </c>
      <c r="C304">
        <v>37</v>
      </c>
      <c r="D304" t="s">
        <v>29</v>
      </c>
      <c r="E304" t="s">
        <v>122</v>
      </c>
      <c r="F304" t="s">
        <v>31</v>
      </c>
      <c r="G304">
        <v>65335</v>
      </c>
      <c r="H304" s="1">
        <v>44568</v>
      </c>
      <c r="I304" t="s">
        <v>98</v>
      </c>
      <c r="J304" t="s">
        <v>101</v>
      </c>
      <c r="K304" t="s">
        <v>34</v>
      </c>
      <c r="L304">
        <v>6</v>
      </c>
      <c r="M304">
        <v>4</v>
      </c>
      <c r="N304">
        <v>5</v>
      </c>
      <c r="O304" t="s">
        <v>50</v>
      </c>
      <c r="P304" t="s">
        <v>36</v>
      </c>
      <c r="Q304">
        <v>196</v>
      </c>
      <c r="R304">
        <v>19</v>
      </c>
      <c r="S304">
        <v>20</v>
      </c>
      <c r="T304" t="s">
        <v>36</v>
      </c>
      <c r="U304" t="s">
        <v>37</v>
      </c>
      <c r="V304" t="s">
        <v>36</v>
      </c>
      <c r="W304" t="s">
        <v>60</v>
      </c>
      <c r="X304">
        <v>2022</v>
      </c>
      <c r="Y304" t="s">
        <v>94</v>
      </c>
      <c r="Z304" t="s">
        <v>62</v>
      </c>
      <c r="AA304" t="s">
        <v>52</v>
      </c>
    </row>
    <row r="305" spans="1:27" x14ac:dyDescent="0.3">
      <c r="A305" t="s">
        <v>424</v>
      </c>
      <c r="B305" t="s">
        <v>28</v>
      </c>
      <c r="C305">
        <v>36</v>
      </c>
      <c r="D305" t="s">
        <v>81</v>
      </c>
      <c r="E305" t="s">
        <v>165</v>
      </c>
      <c r="F305" t="s">
        <v>56</v>
      </c>
      <c r="G305">
        <v>30898</v>
      </c>
      <c r="H305" s="1">
        <v>45401</v>
      </c>
      <c r="I305" t="s">
        <v>98</v>
      </c>
      <c r="J305" t="s">
        <v>99</v>
      </c>
      <c r="K305" t="s">
        <v>49</v>
      </c>
      <c r="L305">
        <v>1</v>
      </c>
      <c r="M305">
        <v>1</v>
      </c>
      <c r="N305">
        <v>5</v>
      </c>
      <c r="O305" t="s">
        <v>59</v>
      </c>
      <c r="P305" t="s">
        <v>36</v>
      </c>
      <c r="Q305">
        <v>189</v>
      </c>
      <c r="R305">
        <v>70</v>
      </c>
      <c r="S305">
        <v>30</v>
      </c>
      <c r="T305" t="s">
        <v>36</v>
      </c>
      <c r="U305" t="s">
        <v>37</v>
      </c>
      <c r="V305" t="s">
        <v>36</v>
      </c>
      <c r="W305" t="s">
        <v>60</v>
      </c>
      <c r="X305">
        <v>2024</v>
      </c>
      <c r="Y305" t="s">
        <v>69</v>
      </c>
      <c r="Z305" t="s">
        <v>62</v>
      </c>
      <c r="AA305" t="s">
        <v>63</v>
      </c>
    </row>
    <row r="306" spans="1:27" x14ac:dyDescent="0.3">
      <c r="A306" t="s">
        <v>425</v>
      </c>
      <c r="B306" t="s">
        <v>43</v>
      </c>
      <c r="C306">
        <v>31</v>
      </c>
      <c r="D306" t="s">
        <v>65</v>
      </c>
      <c r="E306" t="s">
        <v>66</v>
      </c>
      <c r="F306" t="s">
        <v>46</v>
      </c>
      <c r="G306">
        <v>75977</v>
      </c>
      <c r="H306" s="1">
        <v>45913</v>
      </c>
      <c r="I306" t="s">
        <v>98</v>
      </c>
      <c r="J306" t="s">
        <v>99</v>
      </c>
      <c r="K306" t="s">
        <v>34</v>
      </c>
      <c r="L306">
        <v>5</v>
      </c>
      <c r="M306">
        <v>3</v>
      </c>
      <c r="N306">
        <v>5</v>
      </c>
      <c r="O306" t="s">
        <v>50</v>
      </c>
      <c r="P306" t="s">
        <v>36</v>
      </c>
      <c r="Q306">
        <v>157</v>
      </c>
      <c r="R306">
        <v>8</v>
      </c>
      <c r="S306">
        <v>11</v>
      </c>
      <c r="T306" t="s">
        <v>36</v>
      </c>
      <c r="U306" t="s">
        <v>36</v>
      </c>
      <c r="V306" t="s">
        <v>36</v>
      </c>
      <c r="W306" t="s">
        <v>60</v>
      </c>
      <c r="X306">
        <v>2025</v>
      </c>
      <c r="Y306" t="s">
        <v>51</v>
      </c>
      <c r="Z306" t="s">
        <v>40</v>
      </c>
      <c r="AA306" t="s">
        <v>52</v>
      </c>
    </row>
    <row r="307" spans="1:27" x14ac:dyDescent="0.3">
      <c r="A307" t="s">
        <v>426</v>
      </c>
      <c r="B307" t="s">
        <v>28</v>
      </c>
      <c r="C307">
        <v>32</v>
      </c>
      <c r="D307" t="s">
        <v>54</v>
      </c>
      <c r="E307" t="s">
        <v>207</v>
      </c>
      <c r="F307" t="s">
        <v>46</v>
      </c>
      <c r="G307">
        <v>73686</v>
      </c>
      <c r="H307" s="1">
        <v>44616</v>
      </c>
      <c r="I307" t="s">
        <v>98</v>
      </c>
      <c r="J307" t="s">
        <v>73</v>
      </c>
      <c r="K307" t="s">
        <v>34</v>
      </c>
      <c r="L307">
        <v>14</v>
      </c>
      <c r="M307">
        <v>3</v>
      </c>
      <c r="N307">
        <v>3</v>
      </c>
      <c r="O307" t="s">
        <v>59</v>
      </c>
      <c r="P307" t="s">
        <v>37</v>
      </c>
      <c r="Q307">
        <v>244</v>
      </c>
      <c r="R307">
        <v>52</v>
      </c>
      <c r="S307">
        <v>27</v>
      </c>
      <c r="T307" t="s">
        <v>37</v>
      </c>
      <c r="U307" t="s">
        <v>37</v>
      </c>
      <c r="V307" t="s">
        <v>36</v>
      </c>
      <c r="W307" t="s">
        <v>60</v>
      </c>
      <c r="X307">
        <v>2022</v>
      </c>
      <c r="Y307" t="s">
        <v>39</v>
      </c>
      <c r="Z307" t="s">
        <v>40</v>
      </c>
      <c r="AA307" t="s">
        <v>52</v>
      </c>
    </row>
    <row r="308" spans="1:27" x14ac:dyDescent="0.3">
      <c r="A308" t="s">
        <v>427</v>
      </c>
      <c r="B308" t="s">
        <v>28</v>
      </c>
      <c r="C308">
        <v>40</v>
      </c>
      <c r="D308" t="s">
        <v>89</v>
      </c>
      <c r="E308" t="s">
        <v>90</v>
      </c>
      <c r="F308" t="s">
        <v>56</v>
      </c>
      <c r="G308">
        <v>39234</v>
      </c>
      <c r="H308" s="1">
        <v>44060</v>
      </c>
      <c r="I308" t="s">
        <v>32</v>
      </c>
      <c r="J308" t="s">
        <v>101</v>
      </c>
      <c r="K308" t="s">
        <v>34</v>
      </c>
      <c r="L308">
        <v>0</v>
      </c>
      <c r="M308">
        <v>5</v>
      </c>
      <c r="N308">
        <v>2</v>
      </c>
      <c r="O308" t="s">
        <v>68</v>
      </c>
      <c r="P308" t="s">
        <v>36</v>
      </c>
      <c r="Q308">
        <v>246</v>
      </c>
      <c r="R308">
        <v>31</v>
      </c>
      <c r="S308">
        <v>20</v>
      </c>
      <c r="T308" t="s">
        <v>36</v>
      </c>
      <c r="U308" t="s">
        <v>36</v>
      </c>
      <c r="V308" t="s">
        <v>36</v>
      </c>
      <c r="W308" t="s">
        <v>60</v>
      </c>
      <c r="X308">
        <v>2020</v>
      </c>
      <c r="Y308" t="s">
        <v>128</v>
      </c>
      <c r="Z308" t="s">
        <v>62</v>
      </c>
      <c r="AA308" t="s">
        <v>63</v>
      </c>
    </row>
    <row r="309" spans="1:27" x14ac:dyDescent="0.3">
      <c r="A309" t="s">
        <v>428</v>
      </c>
      <c r="B309" t="s">
        <v>28</v>
      </c>
      <c r="C309">
        <v>27</v>
      </c>
      <c r="D309" t="s">
        <v>81</v>
      </c>
      <c r="E309" t="s">
        <v>201</v>
      </c>
      <c r="F309" t="s">
        <v>56</v>
      </c>
      <c r="G309">
        <v>33491</v>
      </c>
      <c r="H309" s="1">
        <v>45099</v>
      </c>
      <c r="I309" t="s">
        <v>47</v>
      </c>
      <c r="J309" t="s">
        <v>101</v>
      </c>
      <c r="K309" t="s">
        <v>49</v>
      </c>
      <c r="L309">
        <v>3</v>
      </c>
      <c r="M309">
        <v>4</v>
      </c>
      <c r="N309">
        <v>3</v>
      </c>
      <c r="O309" t="s">
        <v>68</v>
      </c>
      <c r="P309" t="s">
        <v>36</v>
      </c>
      <c r="Q309">
        <v>245</v>
      </c>
      <c r="R309">
        <v>72</v>
      </c>
      <c r="S309">
        <v>29</v>
      </c>
      <c r="T309" t="s">
        <v>36</v>
      </c>
      <c r="U309" t="s">
        <v>36</v>
      </c>
      <c r="V309" t="s">
        <v>36</v>
      </c>
      <c r="W309" t="s">
        <v>60</v>
      </c>
      <c r="X309">
        <v>2023</v>
      </c>
      <c r="Y309" t="s">
        <v>61</v>
      </c>
      <c r="Z309" t="s">
        <v>75</v>
      </c>
      <c r="AA309" t="s">
        <v>63</v>
      </c>
    </row>
    <row r="310" spans="1:27" x14ac:dyDescent="0.3">
      <c r="A310" t="s">
        <v>429</v>
      </c>
      <c r="B310" t="s">
        <v>43</v>
      </c>
      <c r="C310">
        <v>35</v>
      </c>
      <c r="D310" t="s">
        <v>89</v>
      </c>
      <c r="E310" t="s">
        <v>130</v>
      </c>
      <c r="F310" t="s">
        <v>46</v>
      </c>
      <c r="G310">
        <v>99750</v>
      </c>
      <c r="H310" s="1">
        <v>43864</v>
      </c>
      <c r="I310" t="s">
        <v>107</v>
      </c>
      <c r="J310" t="s">
        <v>48</v>
      </c>
      <c r="K310" t="s">
        <v>49</v>
      </c>
      <c r="L310">
        <v>5</v>
      </c>
      <c r="M310">
        <v>5</v>
      </c>
      <c r="N310">
        <v>3</v>
      </c>
      <c r="O310" t="s">
        <v>59</v>
      </c>
      <c r="P310" t="s">
        <v>36</v>
      </c>
      <c r="Q310">
        <v>228</v>
      </c>
      <c r="R310">
        <v>64</v>
      </c>
      <c r="S310">
        <v>26</v>
      </c>
      <c r="T310" t="s">
        <v>36</v>
      </c>
      <c r="U310" t="s">
        <v>36</v>
      </c>
      <c r="V310" t="s">
        <v>36</v>
      </c>
      <c r="W310" t="s">
        <v>60</v>
      </c>
      <c r="X310">
        <v>2020</v>
      </c>
      <c r="Y310" t="s">
        <v>39</v>
      </c>
      <c r="Z310" t="s">
        <v>40</v>
      </c>
      <c r="AA310" t="s">
        <v>87</v>
      </c>
    </row>
    <row r="311" spans="1:27" x14ac:dyDescent="0.3">
      <c r="A311" t="s">
        <v>430</v>
      </c>
      <c r="B311" t="s">
        <v>28</v>
      </c>
      <c r="C311">
        <v>30</v>
      </c>
      <c r="D311" t="s">
        <v>65</v>
      </c>
      <c r="E311" t="s">
        <v>147</v>
      </c>
      <c r="F311" t="s">
        <v>46</v>
      </c>
      <c r="G311">
        <v>100888</v>
      </c>
      <c r="H311" s="1">
        <v>46221</v>
      </c>
      <c r="I311" t="s">
        <v>47</v>
      </c>
      <c r="J311" t="s">
        <v>91</v>
      </c>
      <c r="K311" t="s">
        <v>58</v>
      </c>
      <c r="L311">
        <v>5</v>
      </c>
      <c r="M311">
        <v>1</v>
      </c>
      <c r="N311">
        <v>1</v>
      </c>
      <c r="O311" t="s">
        <v>50</v>
      </c>
      <c r="P311" t="s">
        <v>37</v>
      </c>
      <c r="Q311">
        <v>202</v>
      </c>
      <c r="R311">
        <v>37</v>
      </c>
      <c r="S311">
        <v>8</v>
      </c>
      <c r="T311" t="s">
        <v>37</v>
      </c>
      <c r="U311" t="s">
        <v>37</v>
      </c>
      <c r="V311" t="s">
        <v>36</v>
      </c>
      <c r="W311" t="s">
        <v>60</v>
      </c>
      <c r="X311">
        <v>2026</v>
      </c>
      <c r="Y311" t="s">
        <v>79</v>
      </c>
      <c r="Z311" t="s">
        <v>75</v>
      </c>
      <c r="AA311" t="s">
        <v>87</v>
      </c>
    </row>
    <row r="312" spans="1:27" x14ac:dyDescent="0.3">
      <c r="A312" t="s">
        <v>431</v>
      </c>
      <c r="B312" t="s">
        <v>28</v>
      </c>
      <c r="C312">
        <v>30</v>
      </c>
      <c r="D312" t="s">
        <v>29</v>
      </c>
      <c r="E312" t="s">
        <v>93</v>
      </c>
      <c r="F312" t="s">
        <v>56</v>
      </c>
      <c r="G312">
        <v>31931</v>
      </c>
      <c r="H312" s="1">
        <v>45942</v>
      </c>
      <c r="I312" t="s">
        <v>32</v>
      </c>
      <c r="J312" t="s">
        <v>67</v>
      </c>
      <c r="K312" t="s">
        <v>49</v>
      </c>
      <c r="L312">
        <v>0</v>
      </c>
      <c r="M312">
        <v>2</v>
      </c>
      <c r="N312">
        <v>4</v>
      </c>
      <c r="O312" t="s">
        <v>59</v>
      </c>
      <c r="P312" t="s">
        <v>36</v>
      </c>
      <c r="Q312">
        <v>247</v>
      </c>
      <c r="R312">
        <v>14</v>
      </c>
      <c r="S312">
        <v>22</v>
      </c>
      <c r="T312" t="s">
        <v>36</v>
      </c>
      <c r="U312" t="s">
        <v>36</v>
      </c>
      <c r="V312" t="s">
        <v>36</v>
      </c>
      <c r="W312" t="s">
        <v>60</v>
      </c>
      <c r="X312">
        <v>2025</v>
      </c>
      <c r="Y312" t="s">
        <v>83</v>
      </c>
      <c r="Z312" t="s">
        <v>75</v>
      </c>
      <c r="AA312" t="s">
        <v>63</v>
      </c>
    </row>
    <row r="313" spans="1:27" x14ac:dyDescent="0.3">
      <c r="A313" t="s">
        <v>432</v>
      </c>
      <c r="B313" t="s">
        <v>43</v>
      </c>
      <c r="C313">
        <v>39</v>
      </c>
      <c r="D313" t="s">
        <v>65</v>
      </c>
      <c r="E313" t="s">
        <v>66</v>
      </c>
      <c r="F313" t="s">
        <v>31</v>
      </c>
      <c r="G313">
        <v>67583</v>
      </c>
      <c r="H313" s="1">
        <v>44601</v>
      </c>
      <c r="I313" t="s">
        <v>107</v>
      </c>
      <c r="J313" t="s">
        <v>73</v>
      </c>
      <c r="K313" t="s">
        <v>49</v>
      </c>
      <c r="L313">
        <v>2</v>
      </c>
      <c r="M313">
        <v>1</v>
      </c>
      <c r="N313">
        <v>4</v>
      </c>
      <c r="O313" t="s">
        <v>35</v>
      </c>
      <c r="P313" t="s">
        <v>36</v>
      </c>
      <c r="Q313">
        <v>192</v>
      </c>
      <c r="R313">
        <v>67</v>
      </c>
      <c r="S313">
        <v>8</v>
      </c>
      <c r="T313" t="s">
        <v>36</v>
      </c>
      <c r="U313" t="s">
        <v>37</v>
      </c>
      <c r="V313" t="s">
        <v>36</v>
      </c>
      <c r="W313" t="s">
        <v>126</v>
      </c>
      <c r="X313">
        <v>2022</v>
      </c>
      <c r="Y313" t="s">
        <v>39</v>
      </c>
      <c r="Z313" t="s">
        <v>62</v>
      </c>
      <c r="AA313" t="s">
        <v>52</v>
      </c>
    </row>
    <row r="314" spans="1:27" x14ac:dyDescent="0.3">
      <c r="A314" t="s">
        <v>433</v>
      </c>
      <c r="B314" t="s">
        <v>28</v>
      </c>
      <c r="C314">
        <v>37</v>
      </c>
      <c r="D314" t="s">
        <v>89</v>
      </c>
      <c r="E314" t="s">
        <v>203</v>
      </c>
      <c r="F314" t="s">
        <v>31</v>
      </c>
      <c r="G314">
        <v>59715</v>
      </c>
      <c r="H314" s="1">
        <v>44360</v>
      </c>
      <c r="I314" t="s">
        <v>57</v>
      </c>
      <c r="J314" t="s">
        <v>48</v>
      </c>
      <c r="K314" t="s">
        <v>34</v>
      </c>
      <c r="L314">
        <v>5</v>
      </c>
      <c r="M314">
        <v>5</v>
      </c>
      <c r="N314">
        <v>1</v>
      </c>
      <c r="O314" t="s">
        <v>50</v>
      </c>
      <c r="P314" t="s">
        <v>36</v>
      </c>
      <c r="Q314">
        <v>241</v>
      </c>
      <c r="R314">
        <v>62</v>
      </c>
      <c r="S314">
        <v>2</v>
      </c>
      <c r="T314" t="s">
        <v>36</v>
      </c>
      <c r="U314" t="s">
        <v>36</v>
      </c>
      <c r="V314" t="s">
        <v>37</v>
      </c>
      <c r="W314" t="s">
        <v>38</v>
      </c>
      <c r="X314">
        <v>2021</v>
      </c>
      <c r="Y314" t="s">
        <v>61</v>
      </c>
      <c r="Z314" t="s">
        <v>62</v>
      </c>
      <c r="AA314" t="s">
        <v>41</v>
      </c>
    </row>
    <row r="315" spans="1:27" x14ac:dyDescent="0.3">
      <c r="A315" t="s">
        <v>434</v>
      </c>
      <c r="B315" t="s">
        <v>28</v>
      </c>
      <c r="C315">
        <v>37</v>
      </c>
      <c r="D315" t="s">
        <v>29</v>
      </c>
      <c r="E315" t="s">
        <v>103</v>
      </c>
      <c r="F315" t="s">
        <v>96</v>
      </c>
      <c r="G315">
        <v>124922</v>
      </c>
      <c r="H315" s="1">
        <v>44816</v>
      </c>
      <c r="I315" t="s">
        <v>47</v>
      </c>
      <c r="J315" t="s">
        <v>48</v>
      </c>
      <c r="K315" t="s">
        <v>34</v>
      </c>
      <c r="L315">
        <v>10</v>
      </c>
      <c r="M315">
        <v>4</v>
      </c>
      <c r="N315">
        <v>5</v>
      </c>
      <c r="O315" t="s">
        <v>68</v>
      </c>
      <c r="P315" t="s">
        <v>37</v>
      </c>
      <c r="Q315">
        <v>215</v>
      </c>
      <c r="R315">
        <v>5</v>
      </c>
      <c r="S315">
        <v>14</v>
      </c>
      <c r="T315" t="s">
        <v>36</v>
      </c>
      <c r="U315" t="s">
        <v>36</v>
      </c>
      <c r="V315" t="s">
        <v>36</v>
      </c>
      <c r="W315" t="s">
        <v>126</v>
      </c>
      <c r="X315">
        <v>2022</v>
      </c>
      <c r="Y315" t="s">
        <v>51</v>
      </c>
      <c r="Z315" t="s">
        <v>62</v>
      </c>
      <c r="AA315" t="s">
        <v>87</v>
      </c>
    </row>
    <row r="316" spans="1:27" x14ac:dyDescent="0.3">
      <c r="A316" t="s">
        <v>435</v>
      </c>
      <c r="B316" t="s">
        <v>28</v>
      </c>
      <c r="C316">
        <v>41</v>
      </c>
      <c r="D316" t="s">
        <v>65</v>
      </c>
      <c r="E316" t="s">
        <v>66</v>
      </c>
      <c r="F316" t="s">
        <v>46</v>
      </c>
      <c r="G316">
        <v>91254</v>
      </c>
      <c r="H316" s="1">
        <v>46055</v>
      </c>
      <c r="I316" t="s">
        <v>47</v>
      </c>
      <c r="J316" t="s">
        <v>67</v>
      </c>
      <c r="K316" t="s">
        <v>34</v>
      </c>
      <c r="L316">
        <v>5</v>
      </c>
      <c r="M316">
        <v>1</v>
      </c>
      <c r="N316">
        <v>3</v>
      </c>
      <c r="O316" t="s">
        <v>68</v>
      </c>
      <c r="P316" t="s">
        <v>36</v>
      </c>
      <c r="Q316">
        <v>259</v>
      </c>
      <c r="R316">
        <v>27</v>
      </c>
      <c r="S316">
        <v>19</v>
      </c>
      <c r="T316" t="s">
        <v>37</v>
      </c>
      <c r="U316" t="s">
        <v>36</v>
      </c>
      <c r="V316" t="s">
        <v>37</v>
      </c>
      <c r="W316" t="s">
        <v>38</v>
      </c>
      <c r="X316">
        <v>2026</v>
      </c>
      <c r="Y316" t="s">
        <v>39</v>
      </c>
      <c r="Z316" t="s">
        <v>70</v>
      </c>
      <c r="AA316" t="s">
        <v>87</v>
      </c>
    </row>
    <row r="317" spans="1:27" x14ac:dyDescent="0.3">
      <c r="A317" t="s">
        <v>436</v>
      </c>
      <c r="B317" t="s">
        <v>43</v>
      </c>
      <c r="C317">
        <v>32</v>
      </c>
      <c r="D317" t="s">
        <v>44</v>
      </c>
      <c r="E317" t="s">
        <v>109</v>
      </c>
      <c r="F317" t="s">
        <v>96</v>
      </c>
      <c r="G317">
        <v>103994</v>
      </c>
      <c r="H317" s="1">
        <v>44937</v>
      </c>
      <c r="I317" t="s">
        <v>32</v>
      </c>
      <c r="J317" t="s">
        <v>99</v>
      </c>
      <c r="K317" t="s">
        <v>34</v>
      </c>
      <c r="L317">
        <v>18</v>
      </c>
      <c r="M317">
        <v>4</v>
      </c>
      <c r="N317">
        <v>1</v>
      </c>
      <c r="O317" t="s">
        <v>68</v>
      </c>
      <c r="P317" t="s">
        <v>36</v>
      </c>
      <c r="Q317">
        <v>206</v>
      </c>
      <c r="R317">
        <v>67</v>
      </c>
      <c r="S317">
        <v>14</v>
      </c>
      <c r="T317" t="s">
        <v>37</v>
      </c>
      <c r="U317" t="s">
        <v>36</v>
      </c>
      <c r="V317" t="s">
        <v>37</v>
      </c>
      <c r="W317" t="s">
        <v>38</v>
      </c>
      <c r="X317">
        <v>2023</v>
      </c>
      <c r="Y317" t="s">
        <v>94</v>
      </c>
      <c r="Z317" t="s">
        <v>40</v>
      </c>
      <c r="AA317" t="s">
        <v>87</v>
      </c>
    </row>
    <row r="318" spans="1:27" x14ac:dyDescent="0.3">
      <c r="A318" t="s">
        <v>437</v>
      </c>
      <c r="B318" t="s">
        <v>43</v>
      </c>
      <c r="C318">
        <v>36</v>
      </c>
      <c r="D318" t="s">
        <v>89</v>
      </c>
      <c r="E318" t="s">
        <v>130</v>
      </c>
      <c r="F318" t="s">
        <v>56</v>
      </c>
      <c r="G318">
        <v>29213</v>
      </c>
      <c r="H318" s="1">
        <v>43695</v>
      </c>
      <c r="I318" t="s">
        <v>98</v>
      </c>
      <c r="J318" t="s">
        <v>101</v>
      </c>
      <c r="K318" t="s">
        <v>34</v>
      </c>
      <c r="L318">
        <v>2</v>
      </c>
      <c r="M318">
        <v>3</v>
      </c>
      <c r="N318">
        <v>1</v>
      </c>
      <c r="O318" t="s">
        <v>68</v>
      </c>
      <c r="P318" t="s">
        <v>36</v>
      </c>
      <c r="Q318">
        <v>165</v>
      </c>
      <c r="R318">
        <v>79</v>
      </c>
      <c r="S318">
        <v>9</v>
      </c>
      <c r="T318" t="s">
        <v>37</v>
      </c>
      <c r="U318" t="s">
        <v>36</v>
      </c>
      <c r="V318" t="s">
        <v>36</v>
      </c>
      <c r="W318" t="s">
        <v>60</v>
      </c>
      <c r="X318">
        <v>2019</v>
      </c>
      <c r="Y318" t="s">
        <v>128</v>
      </c>
      <c r="Z318" t="s">
        <v>62</v>
      </c>
      <c r="AA318" t="s">
        <v>63</v>
      </c>
    </row>
    <row r="319" spans="1:27" x14ac:dyDescent="0.3">
      <c r="A319" t="s">
        <v>438</v>
      </c>
      <c r="B319" t="s">
        <v>28</v>
      </c>
      <c r="C319">
        <v>29</v>
      </c>
      <c r="D319" t="s">
        <v>89</v>
      </c>
      <c r="E319" t="s">
        <v>203</v>
      </c>
      <c r="F319" t="s">
        <v>96</v>
      </c>
      <c r="G319">
        <v>96003</v>
      </c>
      <c r="H319" s="1">
        <v>46123</v>
      </c>
      <c r="I319" t="s">
        <v>57</v>
      </c>
      <c r="J319" t="s">
        <v>101</v>
      </c>
      <c r="K319" t="s">
        <v>34</v>
      </c>
      <c r="L319">
        <v>11</v>
      </c>
      <c r="M319">
        <v>2</v>
      </c>
      <c r="N319">
        <v>1</v>
      </c>
      <c r="O319" t="s">
        <v>68</v>
      </c>
      <c r="P319" t="s">
        <v>37</v>
      </c>
      <c r="Q319">
        <v>230</v>
      </c>
      <c r="R319">
        <v>80</v>
      </c>
      <c r="S319">
        <v>4</v>
      </c>
      <c r="T319" t="s">
        <v>37</v>
      </c>
      <c r="U319" t="s">
        <v>37</v>
      </c>
      <c r="V319" t="s">
        <v>36</v>
      </c>
      <c r="W319" t="s">
        <v>60</v>
      </c>
      <c r="X319">
        <v>2026</v>
      </c>
      <c r="Y319" t="s">
        <v>69</v>
      </c>
      <c r="Z319" t="s">
        <v>75</v>
      </c>
      <c r="AA319" t="s">
        <v>87</v>
      </c>
    </row>
    <row r="320" spans="1:27" x14ac:dyDescent="0.3">
      <c r="A320" t="s">
        <v>439</v>
      </c>
      <c r="B320" t="s">
        <v>43</v>
      </c>
      <c r="C320">
        <v>34</v>
      </c>
      <c r="D320" t="s">
        <v>44</v>
      </c>
      <c r="E320" t="s">
        <v>219</v>
      </c>
      <c r="F320" t="s">
        <v>31</v>
      </c>
      <c r="G320">
        <v>55966</v>
      </c>
      <c r="H320" s="1">
        <v>46244</v>
      </c>
      <c r="I320" t="s">
        <v>32</v>
      </c>
      <c r="J320" t="s">
        <v>99</v>
      </c>
      <c r="K320" t="s">
        <v>34</v>
      </c>
      <c r="L320">
        <v>4</v>
      </c>
      <c r="M320">
        <v>4</v>
      </c>
      <c r="N320">
        <v>3</v>
      </c>
      <c r="O320" t="s">
        <v>68</v>
      </c>
      <c r="P320" t="s">
        <v>37</v>
      </c>
      <c r="Q320">
        <v>237</v>
      </c>
      <c r="R320">
        <v>47</v>
      </c>
      <c r="S320">
        <v>4</v>
      </c>
      <c r="T320" t="s">
        <v>37</v>
      </c>
      <c r="U320" t="s">
        <v>36</v>
      </c>
      <c r="V320" t="s">
        <v>36</v>
      </c>
      <c r="W320" t="s">
        <v>60</v>
      </c>
      <c r="X320">
        <v>2026</v>
      </c>
      <c r="Y320" t="s">
        <v>128</v>
      </c>
      <c r="Z320" t="s">
        <v>40</v>
      </c>
      <c r="AA320" t="s">
        <v>41</v>
      </c>
    </row>
    <row r="321" spans="1:27" x14ac:dyDescent="0.3">
      <c r="A321" t="s">
        <v>440</v>
      </c>
      <c r="B321" t="s">
        <v>28</v>
      </c>
      <c r="C321">
        <v>31</v>
      </c>
      <c r="D321" t="s">
        <v>77</v>
      </c>
      <c r="E321" t="s">
        <v>138</v>
      </c>
      <c r="F321" t="s">
        <v>46</v>
      </c>
      <c r="G321">
        <v>101268</v>
      </c>
      <c r="H321" s="1">
        <v>45262</v>
      </c>
      <c r="I321" t="s">
        <v>98</v>
      </c>
      <c r="J321" t="s">
        <v>118</v>
      </c>
      <c r="K321" t="s">
        <v>58</v>
      </c>
      <c r="L321">
        <v>7</v>
      </c>
      <c r="M321">
        <v>2</v>
      </c>
      <c r="N321">
        <v>5</v>
      </c>
      <c r="O321" t="s">
        <v>35</v>
      </c>
      <c r="P321" t="s">
        <v>37</v>
      </c>
      <c r="Q321">
        <v>167</v>
      </c>
      <c r="R321">
        <v>67</v>
      </c>
      <c r="S321">
        <v>4</v>
      </c>
      <c r="T321" t="s">
        <v>37</v>
      </c>
      <c r="U321" t="s">
        <v>37</v>
      </c>
      <c r="V321" t="s">
        <v>36</v>
      </c>
      <c r="W321" t="s">
        <v>60</v>
      </c>
      <c r="X321">
        <v>2023</v>
      </c>
      <c r="Y321" t="s">
        <v>116</v>
      </c>
      <c r="Z321" t="s">
        <v>40</v>
      </c>
      <c r="AA321" t="s">
        <v>87</v>
      </c>
    </row>
    <row r="322" spans="1:27" x14ac:dyDescent="0.3">
      <c r="A322" t="s">
        <v>441</v>
      </c>
      <c r="B322" t="s">
        <v>28</v>
      </c>
      <c r="C322">
        <v>32</v>
      </c>
      <c r="D322" t="s">
        <v>54</v>
      </c>
      <c r="E322" t="s">
        <v>207</v>
      </c>
      <c r="F322" t="s">
        <v>96</v>
      </c>
      <c r="G322">
        <v>152391</v>
      </c>
      <c r="H322" s="1">
        <v>43985</v>
      </c>
      <c r="I322" t="s">
        <v>32</v>
      </c>
      <c r="J322" t="s">
        <v>99</v>
      </c>
      <c r="K322" t="s">
        <v>34</v>
      </c>
      <c r="L322">
        <v>19</v>
      </c>
      <c r="M322">
        <v>2</v>
      </c>
      <c r="N322">
        <v>2</v>
      </c>
      <c r="O322" t="s">
        <v>68</v>
      </c>
      <c r="P322" t="s">
        <v>36</v>
      </c>
      <c r="Q322">
        <v>184</v>
      </c>
      <c r="R322">
        <v>68</v>
      </c>
      <c r="S322">
        <v>21</v>
      </c>
      <c r="T322" t="s">
        <v>37</v>
      </c>
      <c r="U322" t="s">
        <v>36</v>
      </c>
      <c r="V322" t="s">
        <v>36</v>
      </c>
      <c r="W322" t="s">
        <v>60</v>
      </c>
      <c r="X322">
        <v>2020</v>
      </c>
      <c r="Y322" t="s">
        <v>61</v>
      </c>
      <c r="Z322" t="s">
        <v>40</v>
      </c>
      <c r="AA322" t="s">
        <v>105</v>
      </c>
    </row>
    <row r="323" spans="1:27" x14ac:dyDescent="0.3">
      <c r="A323" t="s">
        <v>442</v>
      </c>
      <c r="B323" t="s">
        <v>43</v>
      </c>
      <c r="C323">
        <v>36</v>
      </c>
      <c r="D323" t="s">
        <v>77</v>
      </c>
      <c r="E323" t="s">
        <v>182</v>
      </c>
      <c r="F323" t="s">
        <v>31</v>
      </c>
      <c r="G323">
        <v>48288</v>
      </c>
      <c r="H323" s="1">
        <v>45637</v>
      </c>
      <c r="I323" t="s">
        <v>32</v>
      </c>
      <c r="J323" t="s">
        <v>67</v>
      </c>
      <c r="K323" t="s">
        <v>58</v>
      </c>
      <c r="L323">
        <v>2</v>
      </c>
      <c r="M323">
        <v>1</v>
      </c>
      <c r="N323">
        <v>5</v>
      </c>
      <c r="O323" t="s">
        <v>68</v>
      </c>
      <c r="P323" t="s">
        <v>36</v>
      </c>
      <c r="Q323">
        <v>260</v>
      </c>
      <c r="R323">
        <v>19</v>
      </c>
      <c r="S323">
        <v>27</v>
      </c>
      <c r="T323" t="s">
        <v>37</v>
      </c>
      <c r="U323" t="s">
        <v>36</v>
      </c>
      <c r="V323" t="s">
        <v>36</v>
      </c>
      <c r="W323" t="s">
        <v>126</v>
      </c>
      <c r="X323">
        <v>2024</v>
      </c>
      <c r="Y323" t="s">
        <v>116</v>
      </c>
      <c r="Z323" t="s">
        <v>62</v>
      </c>
      <c r="AA323" t="s">
        <v>41</v>
      </c>
    </row>
    <row r="324" spans="1:27" x14ac:dyDescent="0.3">
      <c r="A324" t="s">
        <v>443</v>
      </c>
      <c r="B324" t="s">
        <v>43</v>
      </c>
      <c r="C324">
        <v>26</v>
      </c>
      <c r="D324" t="s">
        <v>85</v>
      </c>
      <c r="E324" t="s">
        <v>168</v>
      </c>
      <c r="F324" t="s">
        <v>56</v>
      </c>
      <c r="G324">
        <v>29770</v>
      </c>
      <c r="H324" s="1">
        <v>44633</v>
      </c>
      <c r="I324" t="s">
        <v>57</v>
      </c>
      <c r="J324" t="s">
        <v>73</v>
      </c>
      <c r="K324" t="s">
        <v>58</v>
      </c>
      <c r="L324">
        <v>2</v>
      </c>
      <c r="M324">
        <v>2</v>
      </c>
      <c r="N324">
        <v>4</v>
      </c>
      <c r="O324" t="s">
        <v>35</v>
      </c>
      <c r="P324" t="s">
        <v>36</v>
      </c>
      <c r="Q324">
        <v>192</v>
      </c>
      <c r="R324">
        <v>67</v>
      </c>
      <c r="S324">
        <v>18</v>
      </c>
      <c r="T324" t="s">
        <v>37</v>
      </c>
      <c r="U324" t="s">
        <v>36</v>
      </c>
      <c r="V324" t="s">
        <v>37</v>
      </c>
      <c r="W324" t="s">
        <v>38</v>
      </c>
      <c r="X324">
        <v>2022</v>
      </c>
      <c r="Y324" t="s">
        <v>142</v>
      </c>
      <c r="Z324" t="s">
        <v>75</v>
      </c>
      <c r="AA324" t="s">
        <v>63</v>
      </c>
    </row>
    <row r="325" spans="1:27" x14ac:dyDescent="0.3">
      <c r="A325" t="s">
        <v>444</v>
      </c>
      <c r="B325" t="s">
        <v>28</v>
      </c>
      <c r="C325">
        <v>46</v>
      </c>
      <c r="D325" t="s">
        <v>44</v>
      </c>
      <c r="E325" t="s">
        <v>45</v>
      </c>
      <c r="F325" t="s">
        <v>46</v>
      </c>
      <c r="G325">
        <v>92463</v>
      </c>
      <c r="H325" s="1">
        <v>46238</v>
      </c>
      <c r="I325" t="s">
        <v>47</v>
      </c>
      <c r="J325" t="s">
        <v>33</v>
      </c>
      <c r="K325" t="s">
        <v>49</v>
      </c>
      <c r="L325">
        <v>8</v>
      </c>
      <c r="M325">
        <v>3</v>
      </c>
      <c r="N325">
        <v>2</v>
      </c>
      <c r="O325" t="s">
        <v>68</v>
      </c>
      <c r="P325" t="s">
        <v>37</v>
      </c>
      <c r="Q325">
        <v>191</v>
      </c>
      <c r="R325">
        <v>14</v>
      </c>
      <c r="S325">
        <v>17</v>
      </c>
      <c r="T325" t="s">
        <v>36</v>
      </c>
      <c r="U325" t="s">
        <v>36</v>
      </c>
      <c r="V325" t="s">
        <v>37</v>
      </c>
      <c r="W325" t="s">
        <v>38</v>
      </c>
      <c r="X325">
        <v>2026</v>
      </c>
      <c r="Y325" t="s">
        <v>128</v>
      </c>
      <c r="Z325" t="s">
        <v>70</v>
      </c>
      <c r="AA325" t="s">
        <v>87</v>
      </c>
    </row>
    <row r="326" spans="1:27" x14ac:dyDescent="0.3">
      <c r="A326" t="s">
        <v>445</v>
      </c>
      <c r="B326" t="s">
        <v>43</v>
      </c>
      <c r="C326">
        <v>24</v>
      </c>
      <c r="D326" t="s">
        <v>29</v>
      </c>
      <c r="E326" t="s">
        <v>122</v>
      </c>
      <c r="F326" t="s">
        <v>31</v>
      </c>
      <c r="G326">
        <v>49083</v>
      </c>
      <c r="H326" s="1">
        <v>45329</v>
      </c>
      <c r="I326" t="s">
        <v>107</v>
      </c>
      <c r="J326" t="s">
        <v>67</v>
      </c>
      <c r="K326" t="s">
        <v>58</v>
      </c>
      <c r="L326">
        <v>6</v>
      </c>
      <c r="M326">
        <v>2</v>
      </c>
      <c r="N326">
        <v>4</v>
      </c>
      <c r="O326" t="s">
        <v>50</v>
      </c>
      <c r="P326" t="s">
        <v>36</v>
      </c>
      <c r="Q326">
        <v>167</v>
      </c>
      <c r="R326">
        <v>21</v>
      </c>
      <c r="S326">
        <v>3</v>
      </c>
      <c r="T326" t="s">
        <v>36</v>
      </c>
      <c r="U326" t="s">
        <v>36</v>
      </c>
      <c r="V326" t="s">
        <v>36</v>
      </c>
      <c r="W326" t="s">
        <v>60</v>
      </c>
      <c r="X326">
        <v>2024</v>
      </c>
      <c r="Y326" t="s">
        <v>39</v>
      </c>
      <c r="Z326" t="s">
        <v>104</v>
      </c>
      <c r="AA326" t="s">
        <v>41</v>
      </c>
    </row>
    <row r="327" spans="1:27" x14ac:dyDescent="0.3">
      <c r="A327" t="s">
        <v>446</v>
      </c>
      <c r="B327" t="s">
        <v>43</v>
      </c>
      <c r="C327">
        <v>23</v>
      </c>
      <c r="D327" t="s">
        <v>85</v>
      </c>
      <c r="E327" t="s">
        <v>86</v>
      </c>
      <c r="F327" t="s">
        <v>96</v>
      </c>
      <c r="G327">
        <v>150106</v>
      </c>
      <c r="H327" s="1">
        <v>44167</v>
      </c>
      <c r="I327" t="s">
        <v>98</v>
      </c>
      <c r="J327" t="s">
        <v>73</v>
      </c>
      <c r="K327" t="s">
        <v>34</v>
      </c>
      <c r="L327">
        <v>14</v>
      </c>
      <c r="M327">
        <v>3</v>
      </c>
      <c r="N327">
        <v>2</v>
      </c>
      <c r="O327" t="s">
        <v>68</v>
      </c>
      <c r="P327" t="s">
        <v>36</v>
      </c>
      <c r="Q327">
        <v>227</v>
      </c>
      <c r="R327">
        <v>16</v>
      </c>
      <c r="S327">
        <v>15</v>
      </c>
      <c r="T327" t="s">
        <v>36</v>
      </c>
      <c r="U327" t="s">
        <v>36</v>
      </c>
      <c r="V327" t="s">
        <v>36</v>
      </c>
      <c r="W327" t="s">
        <v>126</v>
      </c>
      <c r="X327">
        <v>2020</v>
      </c>
      <c r="Y327" t="s">
        <v>116</v>
      </c>
      <c r="Z327" t="s">
        <v>104</v>
      </c>
      <c r="AA327" t="s">
        <v>105</v>
      </c>
    </row>
    <row r="328" spans="1:27" x14ac:dyDescent="0.3">
      <c r="A328" t="s">
        <v>447</v>
      </c>
      <c r="B328" t="s">
        <v>28</v>
      </c>
      <c r="C328">
        <v>40</v>
      </c>
      <c r="D328" t="s">
        <v>89</v>
      </c>
      <c r="E328" t="s">
        <v>130</v>
      </c>
      <c r="F328" t="s">
        <v>46</v>
      </c>
      <c r="G328">
        <v>65950</v>
      </c>
      <c r="H328" s="1">
        <v>44476</v>
      </c>
      <c r="I328" t="s">
        <v>98</v>
      </c>
      <c r="J328" t="s">
        <v>73</v>
      </c>
      <c r="K328" t="s">
        <v>34</v>
      </c>
      <c r="L328">
        <v>11</v>
      </c>
      <c r="M328">
        <v>2</v>
      </c>
      <c r="N328">
        <v>3</v>
      </c>
      <c r="O328" t="s">
        <v>35</v>
      </c>
      <c r="P328" t="s">
        <v>36</v>
      </c>
      <c r="Q328">
        <v>224</v>
      </c>
      <c r="R328">
        <v>58</v>
      </c>
      <c r="S328">
        <v>3</v>
      </c>
      <c r="T328" t="s">
        <v>37</v>
      </c>
      <c r="U328" t="s">
        <v>36</v>
      </c>
      <c r="V328" t="s">
        <v>36</v>
      </c>
      <c r="W328" t="s">
        <v>126</v>
      </c>
      <c r="X328">
        <v>2021</v>
      </c>
      <c r="Y328" t="s">
        <v>83</v>
      </c>
      <c r="Z328" t="s">
        <v>62</v>
      </c>
      <c r="AA328" t="s">
        <v>52</v>
      </c>
    </row>
    <row r="329" spans="1:27" x14ac:dyDescent="0.3">
      <c r="A329" t="s">
        <v>448</v>
      </c>
      <c r="B329" t="s">
        <v>28</v>
      </c>
      <c r="C329">
        <v>37</v>
      </c>
      <c r="D329" t="s">
        <v>77</v>
      </c>
      <c r="E329" t="s">
        <v>133</v>
      </c>
      <c r="F329" t="s">
        <v>96</v>
      </c>
      <c r="G329">
        <v>102844</v>
      </c>
      <c r="H329" s="1">
        <v>45494</v>
      </c>
      <c r="I329" t="s">
        <v>47</v>
      </c>
      <c r="J329" t="s">
        <v>33</v>
      </c>
      <c r="K329" t="s">
        <v>58</v>
      </c>
      <c r="L329">
        <v>15</v>
      </c>
      <c r="M329">
        <v>2</v>
      </c>
      <c r="N329">
        <v>1</v>
      </c>
      <c r="O329" t="s">
        <v>50</v>
      </c>
      <c r="P329" t="s">
        <v>36</v>
      </c>
      <c r="Q329">
        <v>246</v>
      </c>
      <c r="R329">
        <v>42</v>
      </c>
      <c r="S329">
        <v>9</v>
      </c>
      <c r="T329" t="s">
        <v>36</v>
      </c>
      <c r="U329" t="s">
        <v>37</v>
      </c>
      <c r="V329" t="s">
        <v>36</v>
      </c>
      <c r="W329" t="s">
        <v>60</v>
      </c>
      <c r="X329">
        <v>2024</v>
      </c>
      <c r="Y329" t="s">
        <v>79</v>
      </c>
      <c r="Z329" t="s">
        <v>62</v>
      </c>
      <c r="AA329" t="s">
        <v>87</v>
      </c>
    </row>
    <row r="330" spans="1:27" x14ac:dyDescent="0.3">
      <c r="A330" t="s">
        <v>449</v>
      </c>
      <c r="B330" t="s">
        <v>28</v>
      </c>
      <c r="C330">
        <v>36</v>
      </c>
      <c r="D330" t="s">
        <v>89</v>
      </c>
      <c r="E330" t="s">
        <v>144</v>
      </c>
      <c r="F330" t="s">
        <v>31</v>
      </c>
      <c r="G330">
        <v>65045</v>
      </c>
      <c r="H330" s="1">
        <v>45802</v>
      </c>
      <c r="I330" t="s">
        <v>47</v>
      </c>
      <c r="J330" t="s">
        <v>73</v>
      </c>
      <c r="K330" t="s">
        <v>49</v>
      </c>
      <c r="L330">
        <v>5</v>
      </c>
      <c r="M330">
        <v>5</v>
      </c>
      <c r="N330">
        <v>1</v>
      </c>
      <c r="O330" t="s">
        <v>59</v>
      </c>
      <c r="P330" t="s">
        <v>36</v>
      </c>
      <c r="Q330">
        <v>209</v>
      </c>
      <c r="R330">
        <v>5</v>
      </c>
      <c r="S330">
        <v>29</v>
      </c>
      <c r="T330" t="s">
        <v>36</v>
      </c>
      <c r="U330" t="s">
        <v>36</v>
      </c>
      <c r="V330" t="s">
        <v>36</v>
      </c>
      <c r="W330" t="s">
        <v>60</v>
      </c>
      <c r="X330">
        <v>2025</v>
      </c>
      <c r="Y330" t="s">
        <v>74</v>
      </c>
      <c r="Z330" t="s">
        <v>62</v>
      </c>
      <c r="AA330" t="s">
        <v>52</v>
      </c>
    </row>
    <row r="331" spans="1:27" x14ac:dyDescent="0.3">
      <c r="A331" t="s">
        <v>450</v>
      </c>
      <c r="B331" t="s">
        <v>43</v>
      </c>
      <c r="C331">
        <v>36</v>
      </c>
      <c r="D331" t="s">
        <v>65</v>
      </c>
      <c r="E331" t="s">
        <v>120</v>
      </c>
      <c r="F331" t="s">
        <v>46</v>
      </c>
      <c r="G331">
        <v>92911</v>
      </c>
      <c r="H331" s="1">
        <v>45974</v>
      </c>
      <c r="I331" t="s">
        <v>107</v>
      </c>
      <c r="J331" t="s">
        <v>99</v>
      </c>
      <c r="K331" t="s">
        <v>34</v>
      </c>
      <c r="L331">
        <v>9</v>
      </c>
      <c r="M331">
        <v>5</v>
      </c>
      <c r="N331">
        <v>5</v>
      </c>
      <c r="O331" t="s">
        <v>50</v>
      </c>
      <c r="P331" t="s">
        <v>37</v>
      </c>
      <c r="Q331">
        <v>250</v>
      </c>
      <c r="R331">
        <v>11</v>
      </c>
      <c r="S331">
        <v>5</v>
      </c>
      <c r="T331" t="s">
        <v>36</v>
      </c>
      <c r="U331" t="s">
        <v>37</v>
      </c>
      <c r="V331" t="s">
        <v>36</v>
      </c>
      <c r="W331" t="s">
        <v>60</v>
      </c>
      <c r="X331">
        <v>2025</v>
      </c>
      <c r="Y331" t="s">
        <v>123</v>
      </c>
      <c r="Z331" t="s">
        <v>62</v>
      </c>
      <c r="AA331" t="s">
        <v>87</v>
      </c>
    </row>
    <row r="332" spans="1:27" x14ac:dyDescent="0.3">
      <c r="A332" t="s">
        <v>451</v>
      </c>
      <c r="B332" t="s">
        <v>43</v>
      </c>
      <c r="C332">
        <v>31</v>
      </c>
      <c r="D332" t="s">
        <v>29</v>
      </c>
      <c r="E332" t="s">
        <v>30</v>
      </c>
      <c r="F332" t="s">
        <v>46</v>
      </c>
      <c r="G332">
        <v>76486</v>
      </c>
      <c r="H332" s="1">
        <v>43740</v>
      </c>
      <c r="I332" t="s">
        <v>47</v>
      </c>
      <c r="J332" t="s">
        <v>33</v>
      </c>
      <c r="K332" t="s">
        <v>34</v>
      </c>
      <c r="L332">
        <v>13</v>
      </c>
      <c r="M332">
        <v>5</v>
      </c>
      <c r="N332">
        <v>2</v>
      </c>
      <c r="O332" t="s">
        <v>68</v>
      </c>
      <c r="P332" t="s">
        <v>37</v>
      </c>
      <c r="Q332">
        <v>192</v>
      </c>
      <c r="R332">
        <v>46</v>
      </c>
      <c r="S332">
        <v>13</v>
      </c>
      <c r="T332" t="s">
        <v>36</v>
      </c>
      <c r="U332" t="s">
        <v>36</v>
      </c>
      <c r="V332" t="s">
        <v>36</v>
      </c>
      <c r="W332" t="s">
        <v>126</v>
      </c>
      <c r="X332">
        <v>2019</v>
      </c>
      <c r="Y332" t="s">
        <v>83</v>
      </c>
      <c r="Z332" t="s">
        <v>40</v>
      </c>
      <c r="AA332" t="s">
        <v>52</v>
      </c>
    </row>
    <row r="333" spans="1:27" x14ac:dyDescent="0.3">
      <c r="A333" t="s">
        <v>452</v>
      </c>
      <c r="B333" t="s">
        <v>43</v>
      </c>
      <c r="C333">
        <v>25</v>
      </c>
      <c r="D333" t="s">
        <v>29</v>
      </c>
      <c r="E333" t="s">
        <v>103</v>
      </c>
      <c r="F333" t="s">
        <v>46</v>
      </c>
      <c r="G333">
        <v>87624</v>
      </c>
      <c r="H333" s="1">
        <v>45457</v>
      </c>
      <c r="I333" t="s">
        <v>107</v>
      </c>
      <c r="J333" t="s">
        <v>48</v>
      </c>
      <c r="K333" t="s">
        <v>58</v>
      </c>
      <c r="L333">
        <v>12</v>
      </c>
      <c r="M333">
        <v>5</v>
      </c>
      <c r="N333">
        <v>5</v>
      </c>
      <c r="O333" t="s">
        <v>59</v>
      </c>
      <c r="P333" t="s">
        <v>37</v>
      </c>
      <c r="Q333">
        <v>210</v>
      </c>
      <c r="R333">
        <v>16</v>
      </c>
      <c r="S333">
        <v>4</v>
      </c>
      <c r="T333" t="s">
        <v>36</v>
      </c>
      <c r="U333" t="s">
        <v>36</v>
      </c>
      <c r="V333" t="s">
        <v>36</v>
      </c>
      <c r="W333" t="s">
        <v>60</v>
      </c>
      <c r="X333">
        <v>2024</v>
      </c>
      <c r="Y333" t="s">
        <v>61</v>
      </c>
      <c r="Z333" t="s">
        <v>104</v>
      </c>
      <c r="AA333" t="s">
        <v>52</v>
      </c>
    </row>
    <row r="334" spans="1:27" x14ac:dyDescent="0.3">
      <c r="A334" t="s">
        <v>453</v>
      </c>
      <c r="B334" t="s">
        <v>43</v>
      </c>
      <c r="C334">
        <v>32</v>
      </c>
      <c r="D334" t="s">
        <v>54</v>
      </c>
      <c r="E334" t="s">
        <v>153</v>
      </c>
      <c r="F334" t="s">
        <v>31</v>
      </c>
      <c r="G334">
        <v>51042</v>
      </c>
      <c r="H334" s="1">
        <v>44072</v>
      </c>
      <c r="I334" t="s">
        <v>98</v>
      </c>
      <c r="J334" t="s">
        <v>73</v>
      </c>
      <c r="K334" t="s">
        <v>49</v>
      </c>
      <c r="L334">
        <v>2</v>
      </c>
      <c r="M334">
        <v>4</v>
      </c>
      <c r="N334">
        <v>2</v>
      </c>
      <c r="O334" t="s">
        <v>50</v>
      </c>
      <c r="P334" t="s">
        <v>37</v>
      </c>
      <c r="Q334">
        <v>216</v>
      </c>
      <c r="R334">
        <v>58</v>
      </c>
      <c r="S334">
        <v>16</v>
      </c>
      <c r="T334" t="s">
        <v>36</v>
      </c>
      <c r="U334" t="s">
        <v>37</v>
      </c>
      <c r="V334" t="s">
        <v>36</v>
      </c>
      <c r="W334" t="s">
        <v>60</v>
      </c>
      <c r="X334">
        <v>2020</v>
      </c>
      <c r="Y334" t="s">
        <v>128</v>
      </c>
      <c r="Z334" t="s">
        <v>40</v>
      </c>
      <c r="AA334" t="s">
        <v>41</v>
      </c>
    </row>
    <row r="335" spans="1:27" x14ac:dyDescent="0.3">
      <c r="A335" t="s">
        <v>454</v>
      </c>
      <c r="B335" t="s">
        <v>43</v>
      </c>
      <c r="C335">
        <v>27</v>
      </c>
      <c r="D335" t="s">
        <v>44</v>
      </c>
      <c r="E335" t="s">
        <v>219</v>
      </c>
      <c r="F335" t="s">
        <v>56</v>
      </c>
      <c r="G335">
        <v>35612</v>
      </c>
      <c r="H335" s="1">
        <v>45152</v>
      </c>
      <c r="I335" t="s">
        <v>98</v>
      </c>
      <c r="J335" t="s">
        <v>101</v>
      </c>
      <c r="K335" t="s">
        <v>49</v>
      </c>
      <c r="L335">
        <v>2</v>
      </c>
      <c r="M335">
        <v>5</v>
      </c>
      <c r="N335">
        <v>3</v>
      </c>
      <c r="O335" t="s">
        <v>50</v>
      </c>
      <c r="P335" t="s">
        <v>36</v>
      </c>
      <c r="Q335">
        <v>232</v>
      </c>
      <c r="R335">
        <v>77</v>
      </c>
      <c r="S335">
        <v>6</v>
      </c>
      <c r="T335" t="s">
        <v>36</v>
      </c>
      <c r="U335" t="s">
        <v>36</v>
      </c>
      <c r="V335" t="s">
        <v>36</v>
      </c>
      <c r="W335" t="s">
        <v>60</v>
      </c>
      <c r="X335">
        <v>2023</v>
      </c>
      <c r="Y335" t="s">
        <v>128</v>
      </c>
      <c r="Z335" t="s">
        <v>75</v>
      </c>
      <c r="AA335" t="s">
        <v>63</v>
      </c>
    </row>
    <row r="336" spans="1:27" x14ac:dyDescent="0.3">
      <c r="A336" t="s">
        <v>455</v>
      </c>
      <c r="B336" t="s">
        <v>43</v>
      </c>
      <c r="C336">
        <v>38</v>
      </c>
      <c r="D336" t="s">
        <v>44</v>
      </c>
      <c r="E336" t="s">
        <v>45</v>
      </c>
      <c r="F336" t="s">
        <v>46</v>
      </c>
      <c r="G336">
        <v>83883</v>
      </c>
      <c r="H336" s="1">
        <v>44073</v>
      </c>
      <c r="I336" t="s">
        <v>107</v>
      </c>
      <c r="J336" t="s">
        <v>73</v>
      </c>
      <c r="K336" t="s">
        <v>58</v>
      </c>
      <c r="L336">
        <v>5</v>
      </c>
      <c r="M336">
        <v>3</v>
      </c>
      <c r="N336">
        <v>3</v>
      </c>
      <c r="O336" t="s">
        <v>68</v>
      </c>
      <c r="P336" t="s">
        <v>36</v>
      </c>
      <c r="Q336">
        <v>171</v>
      </c>
      <c r="R336">
        <v>25</v>
      </c>
      <c r="S336">
        <v>9</v>
      </c>
      <c r="T336" t="s">
        <v>37</v>
      </c>
      <c r="U336" t="s">
        <v>36</v>
      </c>
      <c r="V336" t="s">
        <v>36</v>
      </c>
      <c r="W336" t="s">
        <v>60</v>
      </c>
      <c r="X336">
        <v>2020</v>
      </c>
      <c r="Y336" t="s">
        <v>128</v>
      </c>
      <c r="Z336" t="s">
        <v>62</v>
      </c>
      <c r="AA336" t="s">
        <v>52</v>
      </c>
    </row>
    <row r="337" spans="1:27" x14ac:dyDescent="0.3">
      <c r="A337" t="s">
        <v>456</v>
      </c>
      <c r="B337" t="s">
        <v>43</v>
      </c>
      <c r="C337">
        <v>30</v>
      </c>
      <c r="D337" t="s">
        <v>85</v>
      </c>
      <c r="E337" t="s">
        <v>159</v>
      </c>
      <c r="F337" t="s">
        <v>46</v>
      </c>
      <c r="G337">
        <v>89226</v>
      </c>
      <c r="H337" s="1">
        <v>44306</v>
      </c>
      <c r="I337" t="s">
        <v>47</v>
      </c>
      <c r="J337" t="s">
        <v>73</v>
      </c>
      <c r="K337" t="s">
        <v>34</v>
      </c>
      <c r="L337">
        <v>7</v>
      </c>
      <c r="M337">
        <v>5</v>
      </c>
      <c r="N337">
        <v>1</v>
      </c>
      <c r="O337" t="s">
        <v>50</v>
      </c>
      <c r="P337" t="s">
        <v>36</v>
      </c>
      <c r="Q337">
        <v>190</v>
      </c>
      <c r="R337">
        <v>20</v>
      </c>
      <c r="S337">
        <v>2</v>
      </c>
      <c r="T337" t="s">
        <v>36</v>
      </c>
      <c r="U337" t="s">
        <v>36</v>
      </c>
      <c r="V337" t="s">
        <v>36</v>
      </c>
      <c r="W337" t="s">
        <v>126</v>
      </c>
      <c r="X337">
        <v>2021</v>
      </c>
      <c r="Y337" t="s">
        <v>69</v>
      </c>
      <c r="Z337" t="s">
        <v>75</v>
      </c>
      <c r="AA337" t="s">
        <v>52</v>
      </c>
    </row>
    <row r="338" spans="1:27" x14ac:dyDescent="0.3">
      <c r="A338" t="s">
        <v>457</v>
      </c>
      <c r="B338" t="s">
        <v>28</v>
      </c>
      <c r="C338">
        <v>26</v>
      </c>
      <c r="D338" t="s">
        <v>89</v>
      </c>
      <c r="E338" t="s">
        <v>144</v>
      </c>
      <c r="F338" t="s">
        <v>31</v>
      </c>
      <c r="G338">
        <v>42140</v>
      </c>
      <c r="H338" s="1">
        <v>45703</v>
      </c>
      <c r="I338" t="s">
        <v>107</v>
      </c>
      <c r="J338" t="s">
        <v>73</v>
      </c>
      <c r="K338" t="s">
        <v>34</v>
      </c>
      <c r="L338">
        <v>7</v>
      </c>
      <c r="M338">
        <v>5</v>
      </c>
      <c r="N338">
        <v>3</v>
      </c>
      <c r="O338" t="s">
        <v>59</v>
      </c>
      <c r="P338" t="s">
        <v>36</v>
      </c>
      <c r="Q338">
        <v>240</v>
      </c>
      <c r="R338">
        <v>48</v>
      </c>
      <c r="S338">
        <v>24</v>
      </c>
      <c r="T338" t="s">
        <v>37</v>
      </c>
      <c r="U338" t="s">
        <v>36</v>
      </c>
      <c r="V338" t="s">
        <v>36</v>
      </c>
      <c r="W338" t="s">
        <v>126</v>
      </c>
      <c r="X338">
        <v>2025</v>
      </c>
      <c r="Y338" t="s">
        <v>39</v>
      </c>
      <c r="Z338" t="s">
        <v>75</v>
      </c>
      <c r="AA338" t="s">
        <v>41</v>
      </c>
    </row>
    <row r="339" spans="1:27" x14ac:dyDescent="0.3">
      <c r="A339" t="s">
        <v>458</v>
      </c>
      <c r="B339" t="s">
        <v>28</v>
      </c>
      <c r="C339">
        <v>29</v>
      </c>
      <c r="D339" t="s">
        <v>85</v>
      </c>
      <c r="E339" t="s">
        <v>86</v>
      </c>
      <c r="F339" t="s">
        <v>46</v>
      </c>
      <c r="G339">
        <v>66625</v>
      </c>
      <c r="H339" s="1">
        <v>45995</v>
      </c>
      <c r="I339" t="s">
        <v>32</v>
      </c>
      <c r="J339" t="s">
        <v>33</v>
      </c>
      <c r="K339" t="s">
        <v>49</v>
      </c>
      <c r="L339">
        <v>11</v>
      </c>
      <c r="M339">
        <v>2</v>
      </c>
      <c r="N339">
        <v>4</v>
      </c>
      <c r="O339" t="s">
        <v>68</v>
      </c>
      <c r="P339" t="s">
        <v>36</v>
      </c>
      <c r="Q339">
        <v>161</v>
      </c>
      <c r="R339">
        <v>7</v>
      </c>
      <c r="S339">
        <v>4</v>
      </c>
      <c r="T339" t="s">
        <v>36</v>
      </c>
      <c r="U339" t="s">
        <v>36</v>
      </c>
      <c r="V339" t="s">
        <v>37</v>
      </c>
      <c r="W339" t="s">
        <v>38</v>
      </c>
      <c r="X339">
        <v>2025</v>
      </c>
      <c r="Y339" t="s">
        <v>116</v>
      </c>
      <c r="Z339" t="s">
        <v>75</v>
      </c>
      <c r="AA339" t="s">
        <v>52</v>
      </c>
    </row>
    <row r="340" spans="1:27" x14ac:dyDescent="0.3">
      <c r="A340" t="s">
        <v>459</v>
      </c>
      <c r="B340" t="s">
        <v>43</v>
      </c>
      <c r="C340">
        <v>34</v>
      </c>
      <c r="D340" t="s">
        <v>54</v>
      </c>
      <c r="E340" t="s">
        <v>55</v>
      </c>
      <c r="F340" t="s">
        <v>31</v>
      </c>
      <c r="G340">
        <v>58071</v>
      </c>
      <c r="H340" s="1">
        <v>45936</v>
      </c>
      <c r="I340" t="s">
        <v>47</v>
      </c>
      <c r="J340" t="s">
        <v>91</v>
      </c>
      <c r="K340" t="s">
        <v>49</v>
      </c>
      <c r="L340">
        <v>4</v>
      </c>
      <c r="M340">
        <v>5</v>
      </c>
      <c r="N340">
        <v>5</v>
      </c>
      <c r="O340" t="s">
        <v>50</v>
      </c>
      <c r="P340" t="s">
        <v>37</v>
      </c>
      <c r="Q340">
        <v>235</v>
      </c>
      <c r="R340">
        <v>6</v>
      </c>
      <c r="S340">
        <v>11</v>
      </c>
      <c r="T340" t="s">
        <v>36</v>
      </c>
      <c r="U340" t="s">
        <v>36</v>
      </c>
      <c r="V340" t="s">
        <v>36</v>
      </c>
      <c r="W340" t="s">
        <v>60</v>
      </c>
      <c r="X340">
        <v>2025</v>
      </c>
      <c r="Y340" t="s">
        <v>83</v>
      </c>
      <c r="Z340" t="s">
        <v>40</v>
      </c>
      <c r="AA340" t="s">
        <v>41</v>
      </c>
    </row>
    <row r="341" spans="1:27" x14ac:dyDescent="0.3">
      <c r="A341" t="s">
        <v>460</v>
      </c>
      <c r="B341" t="s">
        <v>43</v>
      </c>
      <c r="C341">
        <v>28</v>
      </c>
      <c r="D341" t="s">
        <v>89</v>
      </c>
      <c r="E341" t="s">
        <v>203</v>
      </c>
      <c r="F341" t="s">
        <v>31</v>
      </c>
      <c r="G341">
        <v>65850</v>
      </c>
      <c r="H341" s="1">
        <v>45168</v>
      </c>
      <c r="I341" t="s">
        <v>47</v>
      </c>
      <c r="J341" t="s">
        <v>73</v>
      </c>
      <c r="K341" t="s">
        <v>34</v>
      </c>
      <c r="L341">
        <v>5</v>
      </c>
      <c r="M341">
        <v>4</v>
      </c>
      <c r="N341">
        <v>3</v>
      </c>
      <c r="O341" t="s">
        <v>35</v>
      </c>
      <c r="P341" t="s">
        <v>37</v>
      </c>
      <c r="Q341">
        <v>253</v>
      </c>
      <c r="R341">
        <v>23</v>
      </c>
      <c r="S341">
        <v>8</v>
      </c>
      <c r="T341" t="s">
        <v>36</v>
      </c>
      <c r="U341" t="s">
        <v>36</v>
      </c>
      <c r="V341" t="s">
        <v>36</v>
      </c>
      <c r="W341" t="s">
        <v>126</v>
      </c>
      <c r="X341">
        <v>2023</v>
      </c>
      <c r="Y341" t="s">
        <v>128</v>
      </c>
      <c r="Z341" t="s">
        <v>75</v>
      </c>
      <c r="AA341" t="s">
        <v>52</v>
      </c>
    </row>
    <row r="342" spans="1:27" x14ac:dyDescent="0.3">
      <c r="A342" t="s">
        <v>461</v>
      </c>
      <c r="B342" t="s">
        <v>43</v>
      </c>
      <c r="C342">
        <v>26</v>
      </c>
      <c r="D342" t="s">
        <v>54</v>
      </c>
      <c r="E342" t="s">
        <v>55</v>
      </c>
      <c r="F342" t="s">
        <v>56</v>
      </c>
      <c r="G342">
        <v>28216</v>
      </c>
      <c r="H342" s="1">
        <v>46082</v>
      </c>
      <c r="I342" t="s">
        <v>32</v>
      </c>
      <c r="J342" t="s">
        <v>33</v>
      </c>
      <c r="K342" t="s">
        <v>58</v>
      </c>
      <c r="L342">
        <v>3</v>
      </c>
      <c r="M342">
        <v>3</v>
      </c>
      <c r="N342">
        <v>4</v>
      </c>
      <c r="O342" t="s">
        <v>59</v>
      </c>
      <c r="P342" t="s">
        <v>37</v>
      </c>
      <c r="Q342">
        <v>221</v>
      </c>
      <c r="R342">
        <v>42</v>
      </c>
      <c r="S342">
        <v>19</v>
      </c>
      <c r="T342" t="s">
        <v>36</v>
      </c>
      <c r="U342" t="s">
        <v>36</v>
      </c>
      <c r="V342" t="s">
        <v>36</v>
      </c>
      <c r="W342" t="s">
        <v>60</v>
      </c>
      <c r="X342">
        <v>2026</v>
      </c>
      <c r="Y342" t="s">
        <v>142</v>
      </c>
      <c r="Z342" t="s">
        <v>75</v>
      </c>
      <c r="AA342" t="s">
        <v>63</v>
      </c>
    </row>
    <row r="343" spans="1:27" x14ac:dyDescent="0.3">
      <c r="A343" t="s">
        <v>462</v>
      </c>
      <c r="B343" t="s">
        <v>43</v>
      </c>
      <c r="C343">
        <v>33</v>
      </c>
      <c r="D343" t="s">
        <v>81</v>
      </c>
      <c r="E343" t="s">
        <v>165</v>
      </c>
      <c r="F343" t="s">
        <v>96</v>
      </c>
      <c r="G343">
        <v>119428</v>
      </c>
      <c r="H343" s="1">
        <v>43476</v>
      </c>
      <c r="I343" t="s">
        <v>107</v>
      </c>
      <c r="J343" t="s">
        <v>118</v>
      </c>
      <c r="K343" t="s">
        <v>58</v>
      </c>
      <c r="L343">
        <v>8</v>
      </c>
      <c r="M343">
        <v>2</v>
      </c>
      <c r="N343">
        <v>3</v>
      </c>
      <c r="O343" t="s">
        <v>59</v>
      </c>
      <c r="P343" t="s">
        <v>36</v>
      </c>
      <c r="Q343">
        <v>231</v>
      </c>
      <c r="R343">
        <v>36</v>
      </c>
      <c r="S343">
        <v>2</v>
      </c>
      <c r="T343" t="s">
        <v>37</v>
      </c>
      <c r="U343" t="s">
        <v>36</v>
      </c>
      <c r="V343" t="s">
        <v>37</v>
      </c>
      <c r="W343" t="s">
        <v>38</v>
      </c>
      <c r="X343">
        <v>2019</v>
      </c>
      <c r="Y343" t="s">
        <v>94</v>
      </c>
      <c r="Z343" t="s">
        <v>40</v>
      </c>
      <c r="AA343" t="s">
        <v>87</v>
      </c>
    </row>
    <row r="344" spans="1:27" x14ac:dyDescent="0.3">
      <c r="A344" t="s">
        <v>463</v>
      </c>
      <c r="B344" t="s">
        <v>43</v>
      </c>
      <c r="C344">
        <v>33</v>
      </c>
      <c r="D344" t="s">
        <v>89</v>
      </c>
      <c r="E344" t="s">
        <v>203</v>
      </c>
      <c r="F344" t="s">
        <v>46</v>
      </c>
      <c r="G344">
        <v>103080</v>
      </c>
      <c r="H344" s="1">
        <v>45782</v>
      </c>
      <c r="I344" t="s">
        <v>57</v>
      </c>
      <c r="J344" t="s">
        <v>91</v>
      </c>
      <c r="K344" t="s">
        <v>34</v>
      </c>
      <c r="L344">
        <v>12</v>
      </c>
      <c r="M344">
        <v>4</v>
      </c>
      <c r="N344">
        <v>3</v>
      </c>
      <c r="O344" t="s">
        <v>35</v>
      </c>
      <c r="P344" t="s">
        <v>36</v>
      </c>
      <c r="Q344">
        <v>237</v>
      </c>
      <c r="R344">
        <v>38</v>
      </c>
      <c r="S344">
        <v>7</v>
      </c>
      <c r="T344" t="s">
        <v>36</v>
      </c>
      <c r="U344" t="s">
        <v>36</v>
      </c>
      <c r="V344" t="s">
        <v>36</v>
      </c>
      <c r="W344" t="s">
        <v>60</v>
      </c>
      <c r="X344">
        <v>2025</v>
      </c>
      <c r="Y344" t="s">
        <v>74</v>
      </c>
      <c r="Z344" t="s">
        <v>40</v>
      </c>
      <c r="AA344" t="s">
        <v>87</v>
      </c>
    </row>
    <row r="345" spans="1:27" x14ac:dyDescent="0.3">
      <c r="A345" t="s">
        <v>464</v>
      </c>
      <c r="B345" t="s">
        <v>28</v>
      </c>
      <c r="C345">
        <v>28</v>
      </c>
      <c r="D345" t="s">
        <v>65</v>
      </c>
      <c r="E345" t="s">
        <v>72</v>
      </c>
      <c r="F345" t="s">
        <v>31</v>
      </c>
      <c r="G345">
        <v>53710</v>
      </c>
      <c r="H345" s="1">
        <v>43682</v>
      </c>
      <c r="I345" t="s">
        <v>107</v>
      </c>
      <c r="J345" t="s">
        <v>48</v>
      </c>
      <c r="K345" t="s">
        <v>34</v>
      </c>
      <c r="L345">
        <v>3</v>
      </c>
      <c r="M345">
        <v>3</v>
      </c>
      <c r="N345">
        <v>3</v>
      </c>
      <c r="O345" t="s">
        <v>68</v>
      </c>
      <c r="P345" t="s">
        <v>36</v>
      </c>
      <c r="Q345">
        <v>231</v>
      </c>
      <c r="R345">
        <v>28</v>
      </c>
      <c r="S345">
        <v>26</v>
      </c>
      <c r="T345" t="s">
        <v>37</v>
      </c>
      <c r="U345" t="s">
        <v>36</v>
      </c>
      <c r="V345" t="s">
        <v>37</v>
      </c>
      <c r="W345" t="s">
        <v>38</v>
      </c>
      <c r="X345">
        <v>2019</v>
      </c>
      <c r="Y345" t="s">
        <v>128</v>
      </c>
      <c r="Z345" t="s">
        <v>75</v>
      </c>
      <c r="AA345" t="s">
        <v>41</v>
      </c>
    </row>
    <row r="346" spans="1:27" x14ac:dyDescent="0.3">
      <c r="A346" t="s">
        <v>465</v>
      </c>
      <c r="B346" t="s">
        <v>28</v>
      </c>
      <c r="C346">
        <v>28</v>
      </c>
      <c r="D346" t="s">
        <v>65</v>
      </c>
      <c r="E346" t="s">
        <v>66</v>
      </c>
      <c r="F346" t="s">
        <v>46</v>
      </c>
      <c r="G346">
        <v>82790</v>
      </c>
      <c r="H346" s="1">
        <v>43858</v>
      </c>
      <c r="I346" t="s">
        <v>98</v>
      </c>
      <c r="J346" t="s">
        <v>67</v>
      </c>
      <c r="K346" t="s">
        <v>49</v>
      </c>
      <c r="L346">
        <v>10</v>
      </c>
      <c r="M346">
        <v>5</v>
      </c>
      <c r="N346">
        <v>5</v>
      </c>
      <c r="O346" t="s">
        <v>59</v>
      </c>
      <c r="P346" t="s">
        <v>36</v>
      </c>
      <c r="Q346">
        <v>255</v>
      </c>
      <c r="R346">
        <v>57</v>
      </c>
      <c r="S346">
        <v>12</v>
      </c>
      <c r="T346" t="s">
        <v>37</v>
      </c>
      <c r="U346" t="s">
        <v>36</v>
      </c>
      <c r="V346" t="s">
        <v>37</v>
      </c>
      <c r="W346" t="s">
        <v>38</v>
      </c>
      <c r="X346">
        <v>2020</v>
      </c>
      <c r="Y346" t="s">
        <v>94</v>
      </c>
      <c r="Z346" t="s">
        <v>75</v>
      </c>
      <c r="AA346" t="s">
        <v>52</v>
      </c>
    </row>
    <row r="347" spans="1:27" x14ac:dyDescent="0.3">
      <c r="A347" t="s">
        <v>466</v>
      </c>
      <c r="B347" t="s">
        <v>28</v>
      </c>
      <c r="C347">
        <v>33</v>
      </c>
      <c r="D347" t="s">
        <v>44</v>
      </c>
      <c r="E347" t="s">
        <v>115</v>
      </c>
      <c r="F347" t="s">
        <v>31</v>
      </c>
      <c r="G347">
        <v>69249</v>
      </c>
      <c r="H347" s="1">
        <v>45754</v>
      </c>
      <c r="I347" t="s">
        <v>57</v>
      </c>
      <c r="J347" t="s">
        <v>48</v>
      </c>
      <c r="K347" t="s">
        <v>58</v>
      </c>
      <c r="L347">
        <v>3</v>
      </c>
      <c r="M347">
        <v>5</v>
      </c>
      <c r="N347">
        <v>5</v>
      </c>
      <c r="O347" t="s">
        <v>35</v>
      </c>
      <c r="P347" t="s">
        <v>36</v>
      </c>
      <c r="Q347">
        <v>241</v>
      </c>
      <c r="R347">
        <v>66</v>
      </c>
      <c r="S347">
        <v>13</v>
      </c>
      <c r="T347" t="s">
        <v>36</v>
      </c>
      <c r="U347" t="s">
        <v>37</v>
      </c>
      <c r="V347" t="s">
        <v>36</v>
      </c>
      <c r="W347" t="s">
        <v>60</v>
      </c>
      <c r="X347">
        <v>2025</v>
      </c>
      <c r="Y347" t="s">
        <v>69</v>
      </c>
      <c r="Z347" t="s">
        <v>40</v>
      </c>
      <c r="AA347" t="s">
        <v>52</v>
      </c>
    </row>
    <row r="348" spans="1:27" x14ac:dyDescent="0.3">
      <c r="A348" t="s">
        <v>467</v>
      </c>
      <c r="B348" t="s">
        <v>28</v>
      </c>
      <c r="C348">
        <v>21</v>
      </c>
      <c r="D348" t="s">
        <v>89</v>
      </c>
      <c r="E348" t="s">
        <v>144</v>
      </c>
      <c r="F348" t="s">
        <v>31</v>
      </c>
      <c r="G348">
        <v>65261</v>
      </c>
      <c r="H348" s="1">
        <v>43583</v>
      </c>
      <c r="I348" t="s">
        <v>107</v>
      </c>
      <c r="J348" t="s">
        <v>73</v>
      </c>
      <c r="K348" t="s">
        <v>58</v>
      </c>
      <c r="L348">
        <v>4</v>
      </c>
      <c r="M348">
        <v>1</v>
      </c>
      <c r="N348">
        <v>2</v>
      </c>
      <c r="O348" t="s">
        <v>68</v>
      </c>
      <c r="P348" t="s">
        <v>37</v>
      </c>
      <c r="Q348">
        <v>259</v>
      </c>
      <c r="R348">
        <v>15</v>
      </c>
      <c r="S348">
        <v>15</v>
      </c>
      <c r="T348" t="s">
        <v>36</v>
      </c>
      <c r="U348" t="s">
        <v>36</v>
      </c>
      <c r="V348" t="s">
        <v>36</v>
      </c>
      <c r="W348" t="s">
        <v>60</v>
      </c>
      <c r="X348">
        <v>2019</v>
      </c>
      <c r="Y348" t="s">
        <v>69</v>
      </c>
      <c r="Z348" t="s">
        <v>104</v>
      </c>
      <c r="AA348" t="s">
        <v>52</v>
      </c>
    </row>
    <row r="349" spans="1:27" x14ac:dyDescent="0.3">
      <c r="A349" t="s">
        <v>468</v>
      </c>
      <c r="B349" t="s">
        <v>28</v>
      </c>
      <c r="C349">
        <v>22</v>
      </c>
      <c r="D349" t="s">
        <v>29</v>
      </c>
      <c r="E349" t="s">
        <v>122</v>
      </c>
      <c r="F349" t="s">
        <v>96</v>
      </c>
      <c r="G349">
        <v>95572</v>
      </c>
      <c r="H349" s="1">
        <v>43907</v>
      </c>
      <c r="I349" t="s">
        <v>107</v>
      </c>
      <c r="J349" t="s">
        <v>99</v>
      </c>
      <c r="K349" t="s">
        <v>58</v>
      </c>
      <c r="L349">
        <v>11</v>
      </c>
      <c r="M349">
        <v>1</v>
      </c>
      <c r="N349">
        <v>5</v>
      </c>
      <c r="O349" t="s">
        <v>50</v>
      </c>
      <c r="P349" t="s">
        <v>36</v>
      </c>
      <c r="Q349">
        <v>157</v>
      </c>
      <c r="R349">
        <v>6</v>
      </c>
      <c r="S349">
        <v>26</v>
      </c>
      <c r="T349" t="s">
        <v>37</v>
      </c>
      <c r="U349" t="s">
        <v>36</v>
      </c>
      <c r="V349" t="s">
        <v>37</v>
      </c>
      <c r="W349" t="s">
        <v>38</v>
      </c>
      <c r="X349">
        <v>2020</v>
      </c>
      <c r="Y349" t="s">
        <v>142</v>
      </c>
      <c r="Z349" t="s">
        <v>104</v>
      </c>
      <c r="AA349" t="s">
        <v>87</v>
      </c>
    </row>
    <row r="350" spans="1:27" x14ac:dyDescent="0.3">
      <c r="A350" t="s">
        <v>469</v>
      </c>
      <c r="B350" t="s">
        <v>28</v>
      </c>
      <c r="C350">
        <v>26</v>
      </c>
      <c r="D350" t="s">
        <v>44</v>
      </c>
      <c r="E350" t="s">
        <v>115</v>
      </c>
      <c r="F350" t="s">
        <v>31</v>
      </c>
      <c r="G350">
        <v>63974</v>
      </c>
      <c r="H350" s="1">
        <v>43585</v>
      </c>
      <c r="I350" t="s">
        <v>98</v>
      </c>
      <c r="J350" t="s">
        <v>33</v>
      </c>
      <c r="K350" t="s">
        <v>34</v>
      </c>
      <c r="L350">
        <v>4</v>
      </c>
      <c r="M350">
        <v>1</v>
      </c>
      <c r="N350">
        <v>2</v>
      </c>
      <c r="O350" t="s">
        <v>35</v>
      </c>
      <c r="P350" t="s">
        <v>36</v>
      </c>
      <c r="Q350">
        <v>185</v>
      </c>
      <c r="R350">
        <v>17</v>
      </c>
      <c r="S350">
        <v>28</v>
      </c>
      <c r="T350" t="s">
        <v>36</v>
      </c>
      <c r="U350" t="s">
        <v>36</v>
      </c>
      <c r="V350" t="s">
        <v>36</v>
      </c>
      <c r="W350" t="s">
        <v>60</v>
      </c>
      <c r="X350">
        <v>2019</v>
      </c>
      <c r="Y350" t="s">
        <v>69</v>
      </c>
      <c r="Z350" t="s">
        <v>75</v>
      </c>
      <c r="AA350" t="s">
        <v>52</v>
      </c>
    </row>
    <row r="351" spans="1:27" x14ac:dyDescent="0.3">
      <c r="A351" t="s">
        <v>470</v>
      </c>
      <c r="B351" t="s">
        <v>28</v>
      </c>
      <c r="C351">
        <v>30</v>
      </c>
      <c r="D351" t="s">
        <v>44</v>
      </c>
      <c r="E351" t="s">
        <v>109</v>
      </c>
      <c r="F351" t="s">
        <v>31</v>
      </c>
      <c r="G351">
        <v>66707</v>
      </c>
      <c r="H351" s="1">
        <v>43483</v>
      </c>
      <c r="I351" t="s">
        <v>98</v>
      </c>
      <c r="J351" t="s">
        <v>73</v>
      </c>
      <c r="K351" t="s">
        <v>49</v>
      </c>
      <c r="L351">
        <v>6</v>
      </c>
      <c r="M351">
        <v>1</v>
      </c>
      <c r="N351">
        <v>2</v>
      </c>
      <c r="O351" t="s">
        <v>35</v>
      </c>
      <c r="P351" t="s">
        <v>36</v>
      </c>
      <c r="Q351">
        <v>258</v>
      </c>
      <c r="R351">
        <v>28</v>
      </c>
      <c r="S351">
        <v>28</v>
      </c>
      <c r="T351" t="s">
        <v>36</v>
      </c>
      <c r="U351" t="s">
        <v>36</v>
      </c>
      <c r="V351" t="s">
        <v>36</v>
      </c>
      <c r="W351" t="s">
        <v>126</v>
      </c>
      <c r="X351">
        <v>2019</v>
      </c>
      <c r="Y351" t="s">
        <v>94</v>
      </c>
      <c r="Z351" t="s">
        <v>75</v>
      </c>
      <c r="AA351" t="s">
        <v>52</v>
      </c>
    </row>
    <row r="352" spans="1:27" x14ac:dyDescent="0.3">
      <c r="A352" t="s">
        <v>471</v>
      </c>
      <c r="B352" t="s">
        <v>43</v>
      </c>
      <c r="C352">
        <v>34</v>
      </c>
      <c r="D352" t="s">
        <v>44</v>
      </c>
      <c r="E352" t="s">
        <v>115</v>
      </c>
      <c r="F352" t="s">
        <v>96</v>
      </c>
      <c r="G352">
        <v>104790</v>
      </c>
      <c r="H352" s="1">
        <v>44753</v>
      </c>
      <c r="I352" t="s">
        <v>107</v>
      </c>
      <c r="J352" t="s">
        <v>67</v>
      </c>
      <c r="K352" t="s">
        <v>34</v>
      </c>
      <c r="L352">
        <v>20</v>
      </c>
      <c r="M352">
        <v>1</v>
      </c>
      <c r="N352">
        <v>4</v>
      </c>
      <c r="O352" t="s">
        <v>35</v>
      </c>
      <c r="P352" t="s">
        <v>37</v>
      </c>
      <c r="Q352">
        <v>216</v>
      </c>
      <c r="R352">
        <v>15</v>
      </c>
      <c r="S352">
        <v>12</v>
      </c>
      <c r="T352" t="s">
        <v>36</v>
      </c>
      <c r="U352" t="s">
        <v>36</v>
      </c>
      <c r="V352" t="s">
        <v>36</v>
      </c>
      <c r="W352" t="s">
        <v>60</v>
      </c>
      <c r="X352">
        <v>2022</v>
      </c>
      <c r="Y352" t="s">
        <v>79</v>
      </c>
      <c r="Z352" t="s">
        <v>40</v>
      </c>
      <c r="AA352" t="s">
        <v>87</v>
      </c>
    </row>
    <row r="353" spans="1:27" x14ac:dyDescent="0.3">
      <c r="A353" t="s">
        <v>472</v>
      </c>
      <c r="B353" t="s">
        <v>43</v>
      </c>
      <c r="C353">
        <v>42</v>
      </c>
      <c r="D353" t="s">
        <v>81</v>
      </c>
      <c r="E353" t="s">
        <v>165</v>
      </c>
      <c r="F353" t="s">
        <v>46</v>
      </c>
      <c r="G353">
        <v>94095</v>
      </c>
      <c r="H353" s="1">
        <v>45734</v>
      </c>
      <c r="I353" t="s">
        <v>47</v>
      </c>
      <c r="J353" t="s">
        <v>91</v>
      </c>
      <c r="K353" t="s">
        <v>58</v>
      </c>
      <c r="L353">
        <v>8</v>
      </c>
      <c r="M353">
        <v>4</v>
      </c>
      <c r="N353">
        <v>3</v>
      </c>
      <c r="O353" t="s">
        <v>35</v>
      </c>
      <c r="P353" t="s">
        <v>36</v>
      </c>
      <c r="Q353">
        <v>174</v>
      </c>
      <c r="R353">
        <v>67</v>
      </c>
      <c r="S353">
        <v>23</v>
      </c>
      <c r="T353" t="s">
        <v>37</v>
      </c>
      <c r="U353" t="s">
        <v>37</v>
      </c>
      <c r="V353" t="s">
        <v>36</v>
      </c>
      <c r="W353" t="s">
        <v>126</v>
      </c>
      <c r="X353">
        <v>2025</v>
      </c>
      <c r="Y353" t="s">
        <v>142</v>
      </c>
      <c r="Z353" t="s">
        <v>70</v>
      </c>
      <c r="AA353" t="s">
        <v>87</v>
      </c>
    </row>
    <row r="354" spans="1:27" x14ac:dyDescent="0.3">
      <c r="A354" t="s">
        <v>473</v>
      </c>
      <c r="B354" t="s">
        <v>43</v>
      </c>
      <c r="C354">
        <v>38</v>
      </c>
      <c r="D354" t="s">
        <v>54</v>
      </c>
      <c r="E354" t="s">
        <v>153</v>
      </c>
      <c r="F354" t="s">
        <v>31</v>
      </c>
      <c r="G354">
        <v>54937</v>
      </c>
      <c r="H354" s="1">
        <v>45884</v>
      </c>
      <c r="I354" t="s">
        <v>98</v>
      </c>
      <c r="J354" t="s">
        <v>118</v>
      </c>
      <c r="K354" t="s">
        <v>58</v>
      </c>
      <c r="L354">
        <v>5</v>
      </c>
      <c r="M354">
        <v>1</v>
      </c>
      <c r="N354">
        <v>2</v>
      </c>
      <c r="O354" t="s">
        <v>68</v>
      </c>
      <c r="P354" t="s">
        <v>37</v>
      </c>
      <c r="Q354">
        <v>196</v>
      </c>
      <c r="R354">
        <v>59</v>
      </c>
      <c r="S354">
        <v>25</v>
      </c>
      <c r="T354" t="s">
        <v>36</v>
      </c>
      <c r="U354" t="s">
        <v>36</v>
      </c>
      <c r="V354" t="s">
        <v>36</v>
      </c>
      <c r="W354" t="s">
        <v>60</v>
      </c>
      <c r="X354">
        <v>2025</v>
      </c>
      <c r="Y354" t="s">
        <v>128</v>
      </c>
      <c r="Z354" t="s">
        <v>62</v>
      </c>
      <c r="AA354" t="s">
        <v>41</v>
      </c>
    </row>
    <row r="355" spans="1:27" x14ac:dyDescent="0.3">
      <c r="A355" t="s">
        <v>474</v>
      </c>
      <c r="B355" t="s">
        <v>43</v>
      </c>
      <c r="C355">
        <v>30</v>
      </c>
      <c r="D355" t="s">
        <v>77</v>
      </c>
      <c r="E355" t="s">
        <v>78</v>
      </c>
      <c r="F355" t="s">
        <v>96</v>
      </c>
      <c r="G355">
        <v>143011</v>
      </c>
      <c r="H355" s="1">
        <v>45560</v>
      </c>
      <c r="I355" t="s">
        <v>47</v>
      </c>
      <c r="J355" t="s">
        <v>33</v>
      </c>
      <c r="K355" t="s">
        <v>34</v>
      </c>
      <c r="L355">
        <v>15</v>
      </c>
      <c r="M355">
        <v>3</v>
      </c>
      <c r="N355">
        <v>2</v>
      </c>
      <c r="O355" t="s">
        <v>68</v>
      </c>
      <c r="P355" t="s">
        <v>36</v>
      </c>
      <c r="Q355">
        <v>163</v>
      </c>
      <c r="R355">
        <v>8</v>
      </c>
      <c r="S355">
        <v>5</v>
      </c>
      <c r="T355" t="s">
        <v>36</v>
      </c>
      <c r="U355" t="s">
        <v>37</v>
      </c>
      <c r="V355" t="s">
        <v>36</v>
      </c>
      <c r="W355" t="s">
        <v>60</v>
      </c>
      <c r="X355">
        <v>2024</v>
      </c>
      <c r="Y355" t="s">
        <v>51</v>
      </c>
      <c r="Z355" t="s">
        <v>75</v>
      </c>
      <c r="AA355" t="s">
        <v>105</v>
      </c>
    </row>
    <row r="356" spans="1:27" x14ac:dyDescent="0.3">
      <c r="A356" t="s">
        <v>475</v>
      </c>
      <c r="B356" t="s">
        <v>28</v>
      </c>
      <c r="C356">
        <v>31</v>
      </c>
      <c r="D356" t="s">
        <v>89</v>
      </c>
      <c r="E356" t="s">
        <v>203</v>
      </c>
      <c r="F356" t="s">
        <v>31</v>
      </c>
      <c r="G356">
        <v>54538</v>
      </c>
      <c r="H356" s="1">
        <v>46248</v>
      </c>
      <c r="I356" t="s">
        <v>98</v>
      </c>
      <c r="J356" t="s">
        <v>101</v>
      </c>
      <c r="K356" t="s">
        <v>49</v>
      </c>
      <c r="L356">
        <v>6</v>
      </c>
      <c r="M356">
        <v>3</v>
      </c>
      <c r="N356">
        <v>2</v>
      </c>
      <c r="O356" t="s">
        <v>68</v>
      </c>
      <c r="P356" t="s">
        <v>36</v>
      </c>
      <c r="Q356">
        <v>229</v>
      </c>
      <c r="R356">
        <v>42</v>
      </c>
      <c r="S356">
        <v>23</v>
      </c>
      <c r="T356" t="s">
        <v>36</v>
      </c>
      <c r="U356" t="s">
        <v>37</v>
      </c>
      <c r="V356" t="s">
        <v>36</v>
      </c>
      <c r="W356" t="s">
        <v>126</v>
      </c>
      <c r="X356">
        <v>2026</v>
      </c>
      <c r="Y356" t="s">
        <v>128</v>
      </c>
      <c r="Z356" t="s">
        <v>40</v>
      </c>
      <c r="AA356" t="s">
        <v>41</v>
      </c>
    </row>
    <row r="357" spans="1:27" x14ac:dyDescent="0.3">
      <c r="A357" t="s">
        <v>476</v>
      </c>
      <c r="B357" t="s">
        <v>43</v>
      </c>
      <c r="C357">
        <v>24</v>
      </c>
      <c r="D357" t="s">
        <v>65</v>
      </c>
      <c r="E357" t="s">
        <v>120</v>
      </c>
      <c r="F357" t="s">
        <v>56</v>
      </c>
      <c r="G357">
        <v>42103</v>
      </c>
      <c r="H357" s="1">
        <v>45037</v>
      </c>
      <c r="I357" t="s">
        <v>32</v>
      </c>
      <c r="J357" t="s">
        <v>67</v>
      </c>
      <c r="K357" t="s">
        <v>34</v>
      </c>
      <c r="L357">
        <v>0</v>
      </c>
      <c r="M357">
        <v>4</v>
      </c>
      <c r="N357">
        <v>3</v>
      </c>
      <c r="O357" t="s">
        <v>68</v>
      </c>
      <c r="P357" t="s">
        <v>36</v>
      </c>
      <c r="Q357">
        <v>206</v>
      </c>
      <c r="R357">
        <v>67</v>
      </c>
      <c r="S357">
        <v>15</v>
      </c>
      <c r="T357" t="s">
        <v>37</v>
      </c>
      <c r="U357" t="s">
        <v>36</v>
      </c>
      <c r="V357" t="s">
        <v>37</v>
      </c>
      <c r="W357" t="s">
        <v>38</v>
      </c>
      <c r="X357">
        <v>2023</v>
      </c>
      <c r="Y357" t="s">
        <v>69</v>
      </c>
      <c r="Z357" t="s">
        <v>104</v>
      </c>
      <c r="AA357" t="s">
        <v>41</v>
      </c>
    </row>
    <row r="358" spans="1:27" x14ac:dyDescent="0.3">
      <c r="A358" t="s">
        <v>477</v>
      </c>
      <c r="B358" t="s">
        <v>43</v>
      </c>
      <c r="C358">
        <v>31</v>
      </c>
      <c r="D358" t="s">
        <v>77</v>
      </c>
      <c r="E358" t="s">
        <v>133</v>
      </c>
      <c r="F358" t="s">
        <v>56</v>
      </c>
      <c r="G358">
        <v>44074</v>
      </c>
      <c r="H358" s="1">
        <v>45415</v>
      </c>
      <c r="I358" t="s">
        <v>98</v>
      </c>
      <c r="J358" t="s">
        <v>118</v>
      </c>
      <c r="K358" t="s">
        <v>34</v>
      </c>
      <c r="L358">
        <v>3</v>
      </c>
      <c r="M358">
        <v>5</v>
      </c>
      <c r="N358">
        <v>2</v>
      </c>
      <c r="O358" t="s">
        <v>50</v>
      </c>
      <c r="P358" t="s">
        <v>36</v>
      </c>
      <c r="Q358">
        <v>157</v>
      </c>
      <c r="R358">
        <v>41</v>
      </c>
      <c r="S358">
        <v>12</v>
      </c>
      <c r="T358" t="s">
        <v>37</v>
      </c>
      <c r="U358" t="s">
        <v>36</v>
      </c>
      <c r="V358" t="s">
        <v>36</v>
      </c>
      <c r="W358" t="s">
        <v>60</v>
      </c>
      <c r="X358">
        <v>2024</v>
      </c>
      <c r="Y358" t="s">
        <v>74</v>
      </c>
      <c r="Z358" t="s">
        <v>40</v>
      </c>
      <c r="AA358" t="s">
        <v>41</v>
      </c>
    </row>
    <row r="359" spans="1:27" x14ac:dyDescent="0.3">
      <c r="A359" t="s">
        <v>478</v>
      </c>
      <c r="B359" t="s">
        <v>28</v>
      </c>
      <c r="C359">
        <v>29</v>
      </c>
      <c r="D359" t="s">
        <v>85</v>
      </c>
      <c r="E359" t="s">
        <v>151</v>
      </c>
      <c r="F359" t="s">
        <v>46</v>
      </c>
      <c r="G359">
        <v>103270</v>
      </c>
      <c r="H359" s="1">
        <v>46026</v>
      </c>
      <c r="I359" t="s">
        <v>47</v>
      </c>
      <c r="J359" t="s">
        <v>91</v>
      </c>
      <c r="K359" t="s">
        <v>58</v>
      </c>
      <c r="L359">
        <v>5</v>
      </c>
      <c r="M359">
        <v>3</v>
      </c>
      <c r="N359">
        <v>4</v>
      </c>
      <c r="O359" t="s">
        <v>68</v>
      </c>
      <c r="P359" t="s">
        <v>37</v>
      </c>
      <c r="Q359">
        <v>204</v>
      </c>
      <c r="R359">
        <v>36</v>
      </c>
      <c r="S359">
        <v>9</v>
      </c>
      <c r="T359" t="s">
        <v>36</v>
      </c>
      <c r="U359" t="s">
        <v>36</v>
      </c>
      <c r="V359" t="s">
        <v>36</v>
      </c>
      <c r="W359" t="s">
        <v>60</v>
      </c>
      <c r="X359">
        <v>2026</v>
      </c>
      <c r="Y359" t="s">
        <v>94</v>
      </c>
      <c r="Z359" t="s">
        <v>75</v>
      </c>
      <c r="AA359" t="s">
        <v>87</v>
      </c>
    </row>
    <row r="360" spans="1:27" x14ac:dyDescent="0.3">
      <c r="A360" t="s">
        <v>479</v>
      </c>
      <c r="B360" t="s">
        <v>28</v>
      </c>
      <c r="C360">
        <v>34</v>
      </c>
      <c r="D360" t="s">
        <v>54</v>
      </c>
      <c r="E360" t="s">
        <v>207</v>
      </c>
      <c r="F360" t="s">
        <v>56</v>
      </c>
      <c r="G360">
        <v>39062</v>
      </c>
      <c r="H360" s="1">
        <v>43546</v>
      </c>
      <c r="I360" t="s">
        <v>47</v>
      </c>
      <c r="J360" t="s">
        <v>67</v>
      </c>
      <c r="K360" t="s">
        <v>58</v>
      </c>
      <c r="L360">
        <v>1</v>
      </c>
      <c r="M360">
        <v>5</v>
      </c>
      <c r="N360">
        <v>3</v>
      </c>
      <c r="O360" t="s">
        <v>59</v>
      </c>
      <c r="P360" t="s">
        <v>37</v>
      </c>
      <c r="Q360">
        <v>208</v>
      </c>
      <c r="R360">
        <v>80</v>
      </c>
      <c r="S360">
        <v>2</v>
      </c>
      <c r="T360" t="s">
        <v>36</v>
      </c>
      <c r="U360" t="s">
        <v>36</v>
      </c>
      <c r="V360" t="s">
        <v>36</v>
      </c>
      <c r="W360" t="s">
        <v>126</v>
      </c>
      <c r="X360">
        <v>2019</v>
      </c>
      <c r="Y360" t="s">
        <v>142</v>
      </c>
      <c r="Z360" t="s">
        <v>40</v>
      </c>
      <c r="AA360" t="s">
        <v>63</v>
      </c>
    </row>
    <row r="361" spans="1:27" x14ac:dyDescent="0.3">
      <c r="A361" t="s">
        <v>480</v>
      </c>
      <c r="B361" t="s">
        <v>43</v>
      </c>
      <c r="C361">
        <v>26</v>
      </c>
      <c r="D361" t="s">
        <v>65</v>
      </c>
      <c r="E361" t="s">
        <v>120</v>
      </c>
      <c r="F361" t="s">
        <v>96</v>
      </c>
      <c r="G361">
        <v>103114</v>
      </c>
      <c r="H361" s="1">
        <v>46231</v>
      </c>
      <c r="I361" t="s">
        <v>107</v>
      </c>
      <c r="J361" t="s">
        <v>91</v>
      </c>
      <c r="K361" t="s">
        <v>49</v>
      </c>
      <c r="L361">
        <v>19</v>
      </c>
      <c r="M361">
        <v>2</v>
      </c>
      <c r="N361">
        <v>3</v>
      </c>
      <c r="O361" t="s">
        <v>68</v>
      </c>
      <c r="P361" t="s">
        <v>36</v>
      </c>
      <c r="Q361">
        <v>214</v>
      </c>
      <c r="R361">
        <v>68</v>
      </c>
      <c r="S361">
        <v>22</v>
      </c>
      <c r="T361" t="s">
        <v>37</v>
      </c>
      <c r="U361" t="s">
        <v>36</v>
      </c>
      <c r="V361" t="s">
        <v>37</v>
      </c>
      <c r="W361" t="s">
        <v>38</v>
      </c>
      <c r="X361">
        <v>2026</v>
      </c>
      <c r="Y361" t="s">
        <v>79</v>
      </c>
      <c r="Z361" t="s">
        <v>75</v>
      </c>
      <c r="AA361" t="s">
        <v>87</v>
      </c>
    </row>
    <row r="362" spans="1:27" x14ac:dyDescent="0.3">
      <c r="A362" t="s">
        <v>481</v>
      </c>
      <c r="B362" t="s">
        <v>28</v>
      </c>
      <c r="C362">
        <v>35</v>
      </c>
      <c r="D362" t="s">
        <v>81</v>
      </c>
      <c r="E362" t="s">
        <v>82</v>
      </c>
      <c r="F362" t="s">
        <v>56</v>
      </c>
      <c r="G362">
        <v>37742</v>
      </c>
      <c r="H362" s="1">
        <v>44391</v>
      </c>
      <c r="I362" t="s">
        <v>107</v>
      </c>
      <c r="J362" t="s">
        <v>48</v>
      </c>
      <c r="K362" t="s">
        <v>34</v>
      </c>
      <c r="L362">
        <v>3</v>
      </c>
      <c r="M362">
        <v>5</v>
      </c>
      <c r="N362">
        <v>1</v>
      </c>
      <c r="O362" t="s">
        <v>59</v>
      </c>
      <c r="P362" t="s">
        <v>36</v>
      </c>
      <c r="Q362">
        <v>258</v>
      </c>
      <c r="R362">
        <v>59</v>
      </c>
      <c r="S362">
        <v>8</v>
      </c>
      <c r="T362" t="s">
        <v>36</v>
      </c>
      <c r="U362" t="s">
        <v>37</v>
      </c>
      <c r="V362" t="s">
        <v>36</v>
      </c>
      <c r="W362" t="s">
        <v>60</v>
      </c>
      <c r="X362">
        <v>2021</v>
      </c>
      <c r="Y362" t="s">
        <v>79</v>
      </c>
      <c r="Z362" t="s">
        <v>40</v>
      </c>
      <c r="AA362" t="s">
        <v>63</v>
      </c>
    </row>
    <row r="363" spans="1:27" x14ac:dyDescent="0.3">
      <c r="A363" t="s">
        <v>482</v>
      </c>
      <c r="B363" t="s">
        <v>43</v>
      </c>
      <c r="C363">
        <v>42</v>
      </c>
      <c r="D363" t="s">
        <v>81</v>
      </c>
      <c r="E363" t="s">
        <v>165</v>
      </c>
      <c r="F363" t="s">
        <v>46</v>
      </c>
      <c r="G363">
        <v>78112</v>
      </c>
      <c r="H363" s="1">
        <v>45113</v>
      </c>
      <c r="I363" t="s">
        <v>98</v>
      </c>
      <c r="J363" t="s">
        <v>73</v>
      </c>
      <c r="K363" t="s">
        <v>34</v>
      </c>
      <c r="L363">
        <v>11</v>
      </c>
      <c r="M363">
        <v>3</v>
      </c>
      <c r="N363">
        <v>5</v>
      </c>
      <c r="O363" t="s">
        <v>59</v>
      </c>
      <c r="P363" t="s">
        <v>36</v>
      </c>
      <c r="Q363">
        <v>208</v>
      </c>
      <c r="R363">
        <v>32</v>
      </c>
      <c r="S363">
        <v>23</v>
      </c>
      <c r="T363" t="s">
        <v>36</v>
      </c>
      <c r="U363" t="s">
        <v>36</v>
      </c>
      <c r="V363" t="s">
        <v>36</v>
      </c>
      <c r="W363" t="s">
        <v>126</v>
      </c>
      <c r="X363">
        <v>2023</v>
      </c>
      <c r="Y363" t="s">
        <v>79</v>
      </c>
      <c r="Z363" t="s">
        <v>70</v>
      </c>
      <c r="AA363" t="s">
        <v>52</v>
      </c>
    </row>
    <row r="364" spans="1:27" x14ac:dyDescent="0.3">
      <c r="A364" t="s">
        <v>483</v>
      </c>
      <c r="B364" t="s">
        <v>43</v>
      </c>
      <c r="C364">
        <v>31</v>
      </c>
      <c r="D364" t="s">
        <v>77</v>
      </c>
      <c r="E364" t="s">
        <v>182</v>
      </c>
      <c r="F364" t="s">
        <v>31</v>
      </c>
      <c r="G364">
        <v>53936</v>
      </c>
      <c r="H364" s="1">
        <v>44071</v>
      </c>
      <c r="I364" t="s">
        <v>47</v>
      </c>
      <c r="J364" t="s">
        <v>91</v>
      </c>
      <c r="K364" t="s">
        <v>58</v>
      </c>
      <c r="L364">
        <v>5</v>
      </c>
      <c r="M364">
        <v>2</v>
      </c>
      <c r="N364">
        <v>2</v>
      </c>
      <c r="O364" t="s">
        <v>68</v>
      </c>
      <c r="P364" t="s">
        <v>36</v>
      </c>
      <c r="Q364">
        <v>237</v>
      </c>
      <c r="R364">
        <v>57</v>
      </c>
      <c r="S364">
        <v>10</v>
      </c>
      <c r="T364" t="s">
        <v>36</v>
      </c>
      <c r="U364" t="s">
        <v>36</v>
      </c>
      <c r="V364" t="s">
        <v>36</v>
      </c>
      <c r="W364" t="s">
        <v>60</v>
      </c>
      <c r="X364">
        <v>2020</v>
      </c>
      <c r="Y364" t="s">
        <v>128</v>
      </c>
      <c r="Z364" t="s">
        <v>40</v>
      </c>
      <c r="AA364" t="s">
        <v>41</v>
      </c>
    </row>
    <row r="365" spans="1:27" x14ac:dyDescent="0.3">
      <c r="A365" t="s">
        <v>484</v>
      </c>
      <c r="B365" t="s">
        <v>43</v>
      </c>
      <c r="C365">
        <v>34</v>
      </c>
      <c r="D365" t="s">
        <v>44</v>
      </c>
      <c r="E365" t="s">
        <v>45</v>
      </c>
      <c r="F365" t="s">
        <v>31</v>
      </c>
      <c r="G365">
        <v>45721</v>
      </c>
      <c r="H365" s="1">
        <v>44252</v>
      </c>
      <c r="I365" t="s">
        <v>47</v>
      </c>
      <c r="J365" t="s">
        <v>118</v>
      </c>
      <c r="K365" t="s">
        <v>34</v>
      </c>
      <c r="L365">
        <v>3</v>
      </c>
      <c r="M365">
        <v>1</v>
      </c>
      <c r="N365">
        <v>2</v>
      </c>
      <c r="O365" t="s">
        <v>35</v>
      </c>
      <c r="P365" t="s">
        <v>36</v>
      </c>
      <c r="Q365">
        <v>209</v>
      </c>
      <c r="R365">
        <v>30</v>
      </c>
      <c r="S365">
        <v>7</v>
      </c>
      <c r="T365" t="s">
        <v>36</v>
      </c>
      <c r="U365" t="s">
        <v>36</v>
      </c>
      <c r="V365" t="s">
        <v>36</v>
      </c>
      <c r="W365" t="s">
        <v>60</v>
      </c>
      <c r="X365">
        <v>2021</v>
      </c>
      <c r="Y365" t="s">
        <v>39</v>
      </c>
      <c r="Z365" t="s">
        <v>40</v>
      </c>
      <c r="AA365" t="s">
        <v>41</v>
      </c>
    </row>
    <row r="366" spans="1:27" x14ac:dyDescent="0.3">
      <c r="A366" t="s">
        <v>485</v>
      </c>
      <c r="B366" t="s">
        <v>28</v>
      </c>
      <c r="C366">
        <v>36</v>
      </c>
      <c r="D366" t="s">
        <v>81</v>
      </c>
      <c r="E366" t="s">
        <v>82</v>
      </c>
      <c r="F366" t="s">
        <v>31</v>
      </c>
      <c r="G366">
        <v>63112</v>
      </c>
      <c r="H366" s="1">
        <v>45456</v>
      </c>
      <c r="I366" t="s">
        <v>47</v>
      </c>
      <c r="J366" t="s">
        <v>91</v>
      </c>
      <c r="K366" t="s">
        <v>34</v>
      </c>
      <c r="L366">
        <v>2</v>
      </c>
      <c r="M366">
        <v>1</v>
      </c>
      <c r="N366">
        <v>1</v>
      </c>
      <c r="O366" t="s">
        <v>35</v>
      </c>
      <c r="P366" t="s">
        <v>37</v>
      </c>
      <c r="Q366">
        <v>190</v>
      </c>
      <c r="R366">
        <v>55</v>
      </c>
      <c r="S366">
        <v>28</v>
      </c>
      <c r="T366" t="s">
        <v>36</v>
      </c>
      <c r="U366" t="s">
        <v>36</v>
      </c>
      <c r="V366" t="s">
        <v>36</v>
      </c>
      <c r="W366" t="s">
        <v>60</v>
      </c>
      <c r="X366">
        <v>2024</v>
      </c>
      <c r="Y366" t="s">
        <v>61</v>
      </c>
      <c r="Z366" t="s">
        <v>62</v>
      </c>
      <c r="AA366" t="s">
        <v>52</v>
      </c>
    </row>
    <row r="367" spans="1:27" x14ac:dyDescent="0.3">
      <c r="A367" t="s">
        <v>486</v>
      </c>
      <c r="B367" t="s">
        <v>28</v>
      </c>
      <c r="C367">
        <v>29</v>
      </c>
      <c r="D367" t="s">
        <v>54</v>
      </c>
      <c r="E367" t="s">
        <v>153</v>
      </c>
      <c r="F367" t="s">
        <v>46</v>
      </c>
      <c r="G367">
        <v>97535</v>
      </c>
      <c r="H367" s="1">
        <v>44441</v>
      </c>
      <c r="I367" t="s">
        <v>32</v>
      </c>
      <c r="J367" t="s">
        <v>118</v>
      </c>
      <c r="K367" t="s">
        <v>58</v>
      </c>
      <c r="L367">
        <v>6</v>
      </c>
      <c r="M367">
        <v>5</v>
      </c>
      <c r="N367">
        <v>1</v>
      </c>
      <c r="O367" t="s">
        <v>68</v>
      </c>
      <c r="P367" t="s">
        <v>36</v>
      </c>
      <c r="Q367">
        <v>192</v>
      </c>
      <c r="R367">
        <v>18</v>
      </c>
      <c r="S367">
        <v>7</v>
      </c>
      <c r="T367" t="s">
        <v>37</v>
      </c>
      <c r="U367" t="s">
        <v>36</v>
      </c>
      <c r="V367" t="s">
        <v>36</v>
      </c>
      <c r="W367" t="s">
        <v>60</v>
      </c>
      <c r="X367">
        <v>2021</v>
      </c>
      <c r="Y367" t="s">
        <v>51</v>
      </c>
      <c r="Z367" t="s">
        <v>75</v>
      </c>
      <c r="AA367" t="s">
        <v>87</v>
      </c>
    </row>
    <row r="368" spans="1:27" x14ac:dyDescent="0.3">
      <c r="A368" t="s">
        <v>487</v>
      </c>
      <c r="B368" t="s">
        <v>43</v>
      </c>
      <c r="C368">
        <v>33</v>
      </c>
      <c r="D368" t="s">
        <v>77</v>
      </c>
      <c r="E368" t="s">
        <v>78</v>
      </c>
      <c r="F368" t="s">
        <v>56</v>
      </c>
      <c r="G368">
        <v>44068</v>
      </c>
      <c r="H368" s="1">
        <v>43928</v>
      </c>
      <c r="I368" t="s">
        <v>32</v>
      </c>
      <c r="J368" t="s">
        <v>91</v>
      </c>
      <c r="K368" t="s">
        <v>49</v>
      </c>
      <c r="L368">
        <v>2</v>
      </c>
      <c r="M368">
        <v>3</v>
      </c>
      <c r="N368">
        <v>5</v>
      </c>
      <c r="O368" t="s">
        <v>50</v>
      </c>
      <c r="P368" t="s">
        <v>36</v>
      </c>
      <c r="Q368">
        <v>210</v>
      </c>
      <c r="R368">
        <v>44</v>
      </c>
      <c r="S368">
        <v>2</v>
      </c>
      <c r="T368" t="s">
        <v>36</v>
      </c>
      <c r="U368" t="s">
        <v>36</v>
      </c>
      <c r="V368" t="s">
        <v>36</v>
      </c>
      <c r="W368" t="s">
        <v>60</v>
      </c>
      <c r="X368">
        <v>2020</v>
      </c>
      <c r="Y368" t="s">
        <v>69</v>
      </c>
      <c r="Z368" t="s">
        <v>40</v>
      </c>
      <c r="AA368" t="s">
        <v>41</v>
      </c>
    </row>
    <row r="369" spans="1:27" x14ac:dyDescent="0.3">
      <c r="A369" t="s">
        <v>488</v>
      </c>
      <c r="B369" t="s">
        <v>28</v>
      </c>
      <c r="C369">
        <v>32</v>
      </c>
      <c r="D369" t="s">
        <v>44</v>
      </c>
      <c r="E369" t="s">
        <v>109</v>
      </c>
      <c r="F369" t="s">
        <v>96</v>
      </c>
      <c r="G369">
        <v>130536</v>
      </c>
      <c r="H369" s="1">
        <v>44952</v>
      </c>
      <c r="I369" t="s">
        <v>47</v>
      </c>
      <c r="J369" t="s">
        <v>67</v>
      </c>
      <c r="K369" t="s">
        <v>49</v>
      </c>
      <c r="L369">
        <v>18</v>
      </c>
      <c r="M369">
        <v>1</v>
      </c>
      <c r="N369">
        <v>5</v>
      </c>
      <c r="O369" t="s">
        <v>35</v>
      </c>
      <c r="P369" t="s">
        <v>37</v>
      </c>
      <c r="Q369">
        <v>259</v>
      </c>
      <c r="R369">
        <v>35</v>
      </c>
      <c r="S369">
        <v>11</v>
      </c>
      <c r="T369" t="s">
        <v>37</v>
      </c>
      <c r="U369" t="s">
        <v>36</v>
      </c>
      <c r="V369" t="s">
        <v>36</v>
      </c>
      <c r="W369" t="s">
        <v>60</v>
      </c>
      <c r="X369">
        <v>2023</v>
      </c>
      <c r="Y369" t="s">
        <v>94</v>
      </c>
      <c r="Z369" t="s">
        <v>40</v>
      </c>
      <c r="AA369" t="s">
        <v>105</v>
      </c>
    </row>
    <row r="370" spans="1:27" x14ac:dyDescent="0.3">
      <c r="A370" t="s">
        <v>489</v>
      </c>
      <c r="B370" t="s">
        <v>43</v>
      </c>
      <c r="C370">
        <v>32</v>
      </c>
      <c r="D370" t="s">
        <v>65</v>
      </c>
      <c r="E370" t="s">
        <v>72</v>
      </c>
      <c r="F370" t="s">
        <v>56</v>
      </c>
      <c r="G370">
        <v>36979</v>
      </c>
      <c r="H370" s="1">
        <v>45479</v>
      </c>
      <c r="I370" t="s">
        <v>57</v>
      </c>
      <c r="J370" t="s">
        <v>73</v>
      </c>
      <c r="K370" t="s">
        <v>34</v>
      </c>
      <c r="L370">
        <v>0</v>
      </c>
      <c r="M370">
        <v>4</v>
      </c>
      <c r="N370">
        <v>4</v>
      </c>
      <c r="O370" t="s">
        <v>50</v>
      </c>
      <c r="P370" t="s">
        <v>36</v>
      </c>
      <c r="Q370">
        <v>241</v>
      </c>
      <c r="R370">
        <v>69</v>
      </c>
      <c r="S370">
        <v>4</v>
      </c>
      <c r="T370" t="s">
        <v>36</v>
      </c>
      <c r="U370" t="s">
        <v>36</v>
      </c>
      <c r="V370" t="s">
        <v>36</v>
      </c>
      <c r="W370" t="s">
        <v>126</v>
      </c>
      <c r="X370">
        <v>2024</v>
      </c>
      <c r="Y370" t="s">
        <v>79</v>
      </c>
      <c r="Z370" t="s">
        <v>40</v>
      </c>
      <c r="AA370" t="s">
        <v>63</v>
      </c>
    </row>
    <row r="371" spans="1:27" x14ac:dyDescent="0.3">
      <c r="A371" t="s">
        <v>490</v>
      </c>
      <c r="B371" t="s">
        <v>43</v>
      </c>
      <c r="C371">
        <v>26</v>
      </c>
      <c r="D371" t="s">
        <v>89</v>
      </c>
      <c r="E371" t="s">
        <v>203</v>
      </c>
      <c r="F371" t="s">
        <v>56</v>
      </c>
      <c r="G371">
        <v>34020</v>
      </c>
      <c r="H371" s="1">
        <v>46091</v>
      </c>
      <c r="I371" t="s">
        <v>57</v>
      </c>
      <c r="J371" t="s">
        <v>48</v>
      </c>
      <c r="K371" t="s">
        <v>58</v>
      </c>
      <c r="L371">
        <v>3</v>
      </c>
      <c r="M371">
        <v>2</v>
      </c>
      <c r="N371">
        <v>1</v>
      </c>
      <c r="O371" t="s">
        <v>68</v>
      </c>
      <c r="P371" t="s">
        <v>36</v>
      </c>
      <c r="Q371">
        <v>175</v>
      </c>
      <c r="R371">
        <v>71</v>
      </c>
      <c r="S371">
        <v>24</v>
      </c>
      <c r="T371" t="s">
        <v>36</v>
      </c>
      <c r="U371" t="s">
        <v>36</v>
      </c>
      <c r="V371" t="s">
        <v>36</v>
      </c>
      <c r="W371" t="s">
        <v>60</v>
      </c>
      <c r="X371">
        <v>2026</v>
      </c>
      <c r="Y371" t="s">
        <v>142</v>
      </c>
      <c r="Z371" t="s">
        <v>75</v>
      </c>
      <c r="AA371" t="s">
        <v>63</v>
      </c>
    </row>
    <row r="372" spans="1:27" x14ac:dyDescent="0.3">
      <c r="A372" t="s">
        <v>491</v>
      </c>
      <c r="B372" t="s">
        <v>43</v>
      </c>
      <c r="C372">
        <v>32</v>
      </c>
      <c r="D372" t="s">
        <v>65</v>
      </c>
      <c r="E372" t="s">
        <v>72</v>
      </c>
      <c r="F372" t="s">
        <v>96</v>
      </c>
      <c r="G372">
        <v>107499</v>
      </c>
      <c r="H372" s="1">
        <v>44176</v>
      </c>
      <c r="I372" t="s">
        <v>32</v>
      </c>
      <c r="J372" t="s">
        <v>118</v>
      </c>
      <c r="K372" t="s">
        <v>49</v>
      </c>
      <c r="L372">
        <v>12</v>
      </c>
      <c r="M372">
        <v>5</v>
      </c>
      <c r="N372">
        <v>3</v>
      </c>
      <c r="O372" t="s">
        <v>68</v>
      </c>
      <c r="P372" t="s">
        <v>36</v>
      </c>
      <c r="Q372">
        <v>175</v>
      </c>
      <c r="R372">
        <v>7</v>
      </c>
      <c r="S372">
        <v>2</v>
      </c>
      <c r="T372" t="s">
        <v>36</v>
      </c>
      <c r="U372" t="s">
        <v>37</v>
      </c>
      <c r="V372" t="s">
        <v>36</v>
      </c>
      <c r="W372" t="s">
        <v>60</v>
      </c>
      <c r="X372">
        <v>2020</v>
      </c>
      <c r="Y372" t="s">
        <v>116</v>
      </c>
      <c r="Z372" t="s">
        <v>40</v>
      </c>
      <c r="AA372" t="s">
        <v>87</v>
      </c>
    </row>
    <row r="373" spans="1:27" x14ac:dyDescent="0.3">
      <c r="A373" t="s">
        <v>492</v>
      </c>
      <c r="B373" t="s">
        <v>28</v>
      </c>
      <c r="C373">
        <v>35</v>
      </c>
      <c r="D373" t="s">
        <v>89</v>
      </c>
      <c r="E373" t="s">
        <v>90</v>
      </c>
      <c r="F373" t="s">
        <v>46</v>
      </c>
      <c r="G373">
        <v>76059</v>
      </c>
      <c r="H373" s="1">
        <v>45108</v>
      </c>
      <c r="I373" t="s">
        <v>107</v>
      </c>
      <c r="J373" t="s">
        <v>73</v>
      </c>
      <c r="K373" t="s">
        <v>34</v>
      </c>
      <c r="L373">
        <v>5</v>
      </c>
      <c r="M373">
        <v>5</v>
      </c>
      <c r="N373">
        <v>4</v>
      </c>
      <c r="O373" t="s">
        <v>35</v>
      </c>
      <c r="P373" t="s">
        <v>36</v>
      </c>
      <c r="Q373">
        <v>183</v>
      </c>
      <c r="R373">
        <v>6</v>
      </c>
      <c r="S373">
        <v>24</v>
      </c>
      <c r="T373" t="s">
        <v>36</v>
      </c>
      <c r="U373" t="s">
        <v>36</v>
      </c>
      <c r="V373" t="s">
        <v>37</v>
      </c>
      <c r="W373" t="s">
        <v>38</v>
      </c>
      <c r="X373">
        <v>2023</v>
      </c>
      <c r="Y373" t="s">
        <v>79</v>
      </c>
      <c r="Z373" t="s">
        <v>40</v>
      </c>
      <c r="AA373" t="s">
        <v>52</v>
      </c>
    </row>
    <row r="374" spans="1:27" x14ac:dyDescent="0.3">
      <c r="A374" t="s">
        <v>493</v>
      </c>
      <c r="B374" t="s">
        <v>43</v>
      </c>
      <c r="C374">
        <v>42</v>
      </c>
      <c r="D374" t="s">
        <v>89</v>
      </c>
      <c r="E374" t="s">
        <v>130</v>
      </c>
      <c r="F374" t="s">
        <v>56</v>
      </c>
      <c r="G374">
        <v>35355</v>
      </c>
      <c r="H374" s="1">
        <v>44246</v>
      </c>
      <c r="I374" t="s">
        <v>32</v>
      </c>
      <c r="J374" t="s">
        <v>33</v>
      </c>
      <c r="K374" t="s">
        <v>49</v>
      </c>
      <c r="L374">
        <v>1</v>
      </c>
      <c r="M374">
        <v>3</v>
      </c>
      <c r="N374">
        <v>3</v>
      </c>
      <c r="O374" t="s">
        <v>68</v>
      </c>
      <c r="P374" t="s">
        <v>36</v>
      </c>
      <c r="Q374">
        <v>213</v>
      </c>
      <c r="R374">
        <v>58</v>
      </c>
      <c r="S374">
        <v>7</v>
      </c>
      <c r="T374" t="s">
        <v>36</v>
      </c>
      <c r="U374" t="s">
        <v>36</v>
      </c>
      <c r="V374" t="s">
        <v>36</v>
      </c>
      <c r="W374" t="s">
        <v>60</v>
      </c>
      <c r="X374">
        <v>2021</v>
      </c>
      <c r="Y374" t="s">
        <v>39</v>
      </c>
      <c r="Z374" t="s">
        <v>70</v>
      </c>
      <c r="AA374" t="s">
        <v>63</v>
      </c>
    </row>
    <row r="375" spans="1:27" x14ac:dyDescent="0.3">
      <c r="A375" t="s">
        <v>494</v>
      </c>
      <c r="B375" t="s">
        <v>28</v>
      </c>
      <c r="C375">
        <v>38</v>
      </c>
      <c r="D375" t="s">
        <v>81</v>
      </c>
      <c r="E375" t="s">
        <v>82</v>
      </c>
      <c r="F375" t="s">
        <v>31</v>
      </c>
      <c r="G375">
        <v>62240</v>
      </c>
      <c r="H375" s="1">
        <v>44483</v>
      </c>
      <c r="I375" t="s">
        <v>47</v>
      </c>
      <c r="J375" t="s">
        <v>73</v>
      </c>
      <c r="K375" t="s">
        <v>49</v>
      </c>
      <c r="L375">
        <v>5</v>
      </c>
      <c r="M375">
        <v>3</v>
      </c>
      <c r="N375">
        <v>5</v>
      </c>
      <c r="O375" t="s">
        <v>59</v>
      </c>
      <c r="P375" t="s">
        <v>36</v>
      </c>
      <c r="Q375">
        <v>232</v>
      </c>
      <c r="R375">
        <v>32</v>
      </c>
      <c r="S375">
        <v>24</v>
      </c>
      <c r="T375" t="s">
        <v>36</v>
      </c>
      <c r="U375" t="s">
        <v>36</v>
      </c>
      <c r="V375" t="s">
        <v>37</v>
      </c>
      <c r="W375" t="s">
        <v>38</v>
      </c>
      <c r="X375">
        <v>2021</v>
      </c>
      <c r="Y375" t="s">
        <v>83</v>
      </c>
      <c r="Z375" t="s">
        <v>62</v>
      </c>
      <c r="AA375" t="s">
        <v>52</v>
      </c>
    </row>
    <row r="376" spans="1:27" x14ac:dyDescent="0.3">
      <c r="A376" t="s">
        <v>495</v>
      </c>
      <c r="B376" t="s">
        <v>43</v>
      </c>
      <c r="C376">
        <v>47</v>
      </c>
      <c r="D376" t="s">
        <v>81</v>
      </c>
      <c r="E376" t="s">
        <v>201</v>
      </c>
      <c r="F376" t="s">
        <v>56</v>
      </c>
      <c r="G376">
        <v>29925</v>
      </c>
      <c r="H376" s="1">
        <v>44829</v>
      </c>
      <c r="I376" t="s">
        <v>98</v>
      </c>
      <c r="J376" t="s">
        <v>118</v>
      </c>
      <c r="K376" t="s">
        <v>49</v>
      </c>
      <c r="L376">
        <v>0</v>
      </c>
      <c r="M376">
        <v>2</v>
      </c>
      <c r="N376">
        <v>4</v>
      </c>
      <c r="O376" t="s">
        <v>59</v>
      </c>
      <c r="P376" t="s">
        <v>36</v>
      </c>
      <c r="Q376">
        <v>227</v>
      </c>
      <c r="R376">
        <v>52</v>
      </c>
      <c r="S376">
        <v>6</v>
      </c>
      <c r="T376" t="s">
        <v>36</v>
      </c>
      <c r="U376" t="s">
        <v>37</v>
      </c>
      <c r="V376" t="s">
        <v>37</v>
      </c>
      <c r="W376" t="s">
        <v>38</v>
      </c>
      <c r="X376">
        <v>2022</v>
      </c>
      <c r="Y376" t="s">
        <v>51</v>
      </c>
      <c r="Z376" t="s">
        <v>70</v>
      </c>
      <c r="AA376" t="s">
        <v>63</v>
      </c>
    </row>
    <row r="377" spans="1:27" x14ac:dyDescent="0.3">
      <c r="A377" t="s">
        <v>496</v>
      </c>
      <c r="B377" t="s">
        <v>28</v>
      </c>
      <c r="C377">
        <v>26</v>
      </c>
      <c r="D377" t="s">
        <v>85</v>
      </c>
      <c r="E377" t="s">
        <v>151</v>
      </c>
      <c r="F377" t="s">
        <v>31</v>
      </c>
      <c r="G377">
        <v>58506</v>
      </c>
      <c r="H377" s="1">
        <v>44855</v>
      </c>
      <c r="I377" t="s">
        <v>57</v>
      </c>
      <c r="J377" t="s">
        <v>91</v>
      </c>
      <c r="K377" t="s">
        <v>58</v>
      </c>
      <c r="L377">
        <v>5</v>
      </c>
      <c r="M377">
        <v>4</v>
      </c>
      <c r="N377">
        <v>2</v>
      </c>
      <c r="O377" t="s">
        <v>68</v>
      </c>
      <c r="P377" t="s">
        <v>37</v>
      </c>
      <c r="Q377">
        <v>190</v>
      </c>
      <c r="R377">
        <v>68</v>
      </c>
      <c r="S377">
        <v>29</v>
      </c>
      <c r="T377" t="s">
        <v>36</v>
      </c>
      <c r="U377" t="s">
        <v>36</v>
      </c>
      <c r="V377" t="s">
        <v>37</v>
      </c>
      <c r="W377" t="s">
        <v>38</v>
      </c>
      <c r="X377">
        <v>2022</v>
      </c>
      <c r="Y377" t="s">
        <v>83</v>
      </c>
      <c r="Z377" t="s">
        <v>75</v>
      </c>
      <c r="AA377" t="s">
        <v>41</v>
      </c>
    </row>
    <row r="378" spans="1:27" x14ac:dyDescent="0.3">
      <c r="A378" t="s">
        <v>497</v>
      </c>
      <c r="B378" t="s">
        <v>43</v>
      </c>
      <c r="C378">
        <v>38</v>
      </c>
      <c r="D378" t="s">
        <v>77</v>
      </c>
      <c r="E378" t="s">
        <v>78</v>
      </c>
      <c r="F378" t="s">
        <v>46</v>
      </c>
      <c r="G378">
        <v>105169</v>
      </c>
      <c r="H378" s="1">
        <v>45583</v>
      </c>
      <c r="I378" t="s">
        <v>32</v>
      </c>
      <c r="J378" t="s">
        <v>101</v>
      </c>
      <c r="K378" t="s">
        <v>58</v>
      </c>
      <c r="L378">
        <v>9</v>
      </c>
      <c r="M378">
        <v>3</v>
      </c>
      <c r="N378">
        <v>4</v>
      </c>
      <c r="O378" t="s">
        <v>68</v>
      </c>
      <c r="P378" t="s">
        <v>37</v>
      </c>
      <c r="Q378">
        <v>190</v>
      </c>
      <c r="R378">
        <v>24</v>
      </c>
      <c r="S378">
        <v>3</v>
      </c>
      <c r="T378" t="s">
        <v>37</v>
      </c>
      <c r="U378" t="s">
        <v>36</v>
      </c>
      <c r="V378" t="s">
        <v>36</v>
      </c>
      <c r="W378" t="s">
        <v>60</v>
      </c>
      <c r="X378">
        <v>2024</v>
      </c>
      <c r="Y378" t="s">
        <v>83</v>
      </c>
      <c r="Z378" t="s">
        <v>62</v>
      </c>
      <c r="AA378" t="s">
        <v>87</v>
      </c>
    </row>
    <row r="379" spans="1:27" x14ac:dyDescent="0.3">
      <c r="A379" t="s">
        <v>498</v>
      </c>
      <c r="B379" t="s">
        <v>28</v>
      </c>
      <c r="C379">
        <v>33</v>
      </c>
      <c r="D379" t="s">
        <v>89</v>
      </c>
      <c r="E379" t="s">
        <v>144</v>
      </c>
      <c r="F379" t="s">
        <v>31</v>
      </c>
      <c r="G379">
        <v>65132</v>
      </c>
      <c r="H379" s="1">
        <v>45253</v>
      </c>
      <c r="I379" t="s">
        <v>98</v>
      </c>
      <c r="J379" t="s">
        <v>101</v>
      </c>
      <c r="K379" t="s">
        <v>49</v>
      </c>
      <c r="L379">
        <v>5</v>
      </c>
      <c r="M379">
        <v>1</v>
      </c>
      <c r="N379">
        <v>4</v>
      </c>
      <c r="O379" t="s">
        <v>59</v>
      </c>
      <c r="P379" t="s">
        <v>37</v>
      </c>
      <c r="Q379">
        <v>206</v>
      </c>
      <c r="R379">
        <v>19</v>
      </c>
      <c r="S379">
        <v>29</v>
      </c>
      <c r="T379" t="s">
        <v>36</v>
      </c>
      <c r="U379" t="s">
        <v>36</v>
      </c>
      <c r="V379" t="s">
        <v>36</v>
      </c>
      <c r="W379" t="s">
        <v>60</v>
      </c>
      <c r="X379">
        <v>2023</v>
      </c>
      <c r="Y379" t="s">
        <v>123</v>
      </c>
      <c r="Z379" t="s">
        <v>40</v>
      </c>
      <c r="AA379" t="s">
        <v>52</v>
      </c>
    </row>
    <row r="380" spans="1:27" x14ac:dyDescent="0.3">
      <c r="A380" t="s">
        <v>499</v>
      </c>
      <c r="B380" t="s">
        <v>28</v>
      </c>
      <c r="C380">
        <v>47</v>
      </c>
      <c r="D380" t="s">
        <v>65</v>
      </c>
      <c r="E380" t="s">
        <v>120</v>
      </c>
      <c r="F380" t="s">
        <v>31</v>
      </c>
      <c r="G380">
        <v>51309</v>
      </c>
      <c r="H380" s="1">
        <v>44155</v>
      </c>
      <c r="I380" t="s">
        <v>57</v>
      </c>
      <c r="J380" t="s">
        <v>73</v>
      </c>
      <c r="K380" t="s">
        <v>49</v>
      </c>
      <c r="L380">
        <v>3</v>
      </c>
      <c r="M380">
        <v>5</v>
      </c>
      <c r="N380">
        <v>3</v>
      </c>
      <c r="O380" t="s">
        <v>35</v>
      </c>
      <c r="P380" t="s">
        <v>36</v>
      </c>
      <c r="Q380">
        <v>234</v>
      </c>
      <c r="R380">
        <v>36</v>
      </c>
      <c r="S380">
        <v>26</v>
      </c>
      <c r="T380" t="s">
        <v>36</v>
      </c>
      <c r="U380" t="s">
        <v>36</v>
      </c>
      <c r="V380" t="s">
        <v>36</v>
      </c>
      <c r="W380" t="s">
        <v>60</v>
      </c>
      <c r="X380">
        <v>2020</v>
      </c>
      <c r="Y380" t="s">
        <v>123</v>
      </c>
      <c r="Z380" t="s">
        <v>70</v>
      </c>
      <c r="AA380" t="s">
        <v>41</v>
      </c>
    </row>
    <row r="381" spans="1:27" x14ac:dyDescent="0.3">
      <c r="A381" t="s">
        <v>500</v>
      </c>
      <c r="B381" t="s">
        <v>43</v>
      </c>
      <c r="C381">
        <v>26</v>
      </c>
      <c r="D381" t="s">
        <v>29</v>
      </c>
      <c r="E381" t="s">
        <v>30</v>
      </c>
      <c r="F381" t="s">
        <v>56</v>
      </c>
      <c r="G381">
        <v>40916</v>
      </c>
      <c r="H381" s="1">
        <v>45884</v>
      </c>
      <c r="I381" t="s">
        <v>47</v>
      </c>
      <c r="J381" t="s">
        <v>101</v>
      </c>
      <c r="K381" t="s">
        <v>34</v>
      </c>
      <c r="L381">
        <v>2</v>
      </c>
      <c r="M381">
        <v>1</v>
      </c>
      <c r="N381">
        <v>3</v>
      </c>
      <c r="O381" t="s">
        <v>50</v>
      </c>
      <c r="P381" t="s">
        <v>37</v>
      </c>
      <c r="Q381">
        <v>153</v>
      </c>
      <c r="R381">
        <v>5</v>
      </c>
      <c r="S381">
        <v>12</v>
      </c>
      <c r="T381" t="s">
        <v>37</v>
      </c>
      <c r="U381" t="s">
        <v>37</v>
      </c>
      <c r="V381" t="s">
        <v>36</v>
      </c>
      <c r="W381" t="s">
        <v>126</v>
      </c>
      <c r="X381">
        <v>2025</v>
      </c>
      <c r="Y381" t="s">
        <v>128</v>
      </c>
      <c r="Z381" t="s">
        <v>75</v>
      </c>
      <c r="AA381" t="s">
        <v>41</v>
      </c>
    </row>
    <row r="382" spans="1:27" x14ac:dyDescent="0.3">
      <c r="A382" t="s">
        <v>501</v>
      </c>
      <c r="B382" t="s">
        <v>43</v>
      </c>
      <c r="C382">
        <v>26</v>
      </c>
      <c r="D382" t="s">
        <v>85</v>
      </c>
      <c r="E382" t="s">
        <v>168</v>
      </c>
      <c r="F382" t="s">
        <v>56</v>
      </c>
      <c r="G382">
        <v>37271</v>
      </c>
      <c r="H382" s="1">
        <v>43693</v>
      </c>
      <c r="I382" t="s">
        <v>32</v>
      </c>
      <c r="J382" t="s">
        <v>33</v>
      </c>
      <c r="K382" t="s">
        <v>49</v>
      </c>
      <c r="L382">
        <v>2</v>
      </c>
      <c r="M382">
        <v>1</v>
      </c>
      <c r="N382">
        <v>5</v>
      </c>
      <c r="O382" t="s">
        <v>35</v>
      </c>
      <c r="P382" t="s">
        <v>36</v>
      </c>
      <c r="Q382">
        <v>198</v>
      </c>
      <c r="R382">
        <v>7</v>
      </c>
      <c r="S382">
        <v>29</v>
      </c>
      <c r="T382" t="s">
        <v>37</v>
      </c>
      <c r="U382" t="s">
        <v>37</v>
      </c>
      <c r="V382" t="s">
        <v>36</v>
      </c>
      <c r="W382" t="s">
        <v>60</v>
      </c>
      <c r="X382">
        <v>2019</v>
      </c>
      <c r="Y382" t="s">
        <v>128</v>
      </c>
      <c r="Z382" t="s">
        <v>75</v>
      </c>
      <c r="AA382" t="s">
        <v>63</v>
      </c>
    </row>
    <row r="383" spans="1:27" x14ac:dyDescent="0.3">
      <c r="A383" t="s">
        <v>502</v>
      </c>
      <c r="B383" t="s">
        <v>43</v>
      </c>
      <c r="C383">
        <v>27</v>
      </c>
      <c r="D383" t="s">
        <v>77</v>
      </c>
      <c r="E383" t="s">
        <v>78</v>
      </c>
      <c r="F383" t="s">
        <v>31</v>
      </c>
      <c r="G383">
        <v>45951</v>
      </c>
      <c r="H383" s="1">
        <v>45476</v>
      </c>
      <c r="I383" t="s">
        <v>57</v>
      </c>
      <c r="J383" t="s">
        <v>91</v>
      </c>
      <c r="K383" t="s">
        <v>34</v>
      </c>
      <c r="L383">
        <v>4</v>
      </c>
      <c r="M383">
        <v>4</v>
      </c>
      <c r="N383">
        <v>3</v>
      </c>
      <c r="O383" t="s">
        <v>68</v>
      </c>
      <c r="P383" t="s">
        <v>36</v>
      </c>
      <c r="Q383">
        <v>227</v>
      </c>
      <c r="R383">
        <v>67</v>
      </c>
      <c r="S383">
        <v>16</v>
      </c>
      <c r="T383" t="s">
        <v>36</v>
      </c>
      <c r="U383" t="s">
        <v>36</v>
      </c>
      <c r="V383" t="s">
        <v>36</v>
      </c>
      <c r="W383" t="s">
        <v>126</v>
      </c>
      <c r="X383">
        <v>2024</v>
      </c>
      <c r="Y383" t="s">
        <v>79</v>
      </c>
      <c r="Z383" t="s">
        <v>75</v>
      </c>
      <c r="AA383" t="s">
        <v>41</v>
      </c>
    </row>
    <row r="384" spans="1:27" x14ac:dyDescent="0.3">
      <c r="A384" t="s">
        <v>503</v>
      </c>
      <c r="B384" t="s">
        <v>43</v>
      </c>
      <c r="C384">
        <v>21</v>
      </c>
      <c r="D384" t="s">
        <v>77</v>
      </c>
      <c r="E384" t="s">
        <v>182</v>
      </c>
      <c r="F384" t="s">
        <v>96</v>
      </c>
      <c r="G384">
        <v>138265</v>
      </c>
      <c r="H384" s="1">
        <v>44229</v>
      </c>
      <c r="I384" t="s">
        <v>32</v>
      </c>
      <c r="J384" t="s">
        <v>73</v>
      </c>
      <c r="K384" t="s">
        <v>49</v>
      </c>
      <c r="L384">
        <v>17</v>
      </c>
      <c r="M384">
        <v>4</v>
      </c>
      <c r="N384">
        <v>4</v>
      </c>
      <c r="O384" t="s">
        <v>35</v>
      </c>
      <c r="P384" t="s">
        <v>37</v>
      </c>
      <c r="Q384">
        <v>155</v>
      </c>
      <c r="R384">
        <v>42</v>
      </c>
      <c r="S384">
        <v>16</v>
      </c>
      <c r="T384" t="s">
        <v>36</v>
      </c>
      <c r="U384" t="s">
        <v>36</v>
      </c>
      <c r="V384" t="s">
        <v>36</v>
      </c>
      <c r="W384" t="s">
        <v>60</v>
      </c>
      <c r="X384">
        <v>2021</v>
      </c>
      <c r="Y384" t="s">
        <v>39</v>
      </c>
      <c r="Z384" t="s">
        <v>104</v>
      </c>
      <c r="AA384" t="s">
        <v>105</v>
      </c>
    </row>
    <row r="385" spans="1:27" x14ac:dyDescent="0.3">
      <c r="A385" t="s">
        <v>504</v>
      </c>
      <c r="B385" t="s">
        <v>43</v>
      </c>
      <c r="C385">
        <v>28</v>
      </c>
      <c r="D385" t="s">
        <v>81</v>
      </c>
      <c r="E385" t="s">
        <v>113</v>
      </c>
      <c r="F385" t="s">
        <v>31</v>
      </c>
      <c r="G385">
        <v>64423</v>
      </c>
      <c r="H385" s="1">
        <v>44484</v>
      </c>
      <c r="I385" t="s">
        <v>57</v>
      </c>
      <c r="J385" t="s">
        <v>48</v>
      </c>
      <c r="K385" t="s">
        <v>34</v>
      </c>
      <c r="L385">
        <v>4</v>
      </c>
      <c r="M385">
        <v>5</v>
      </c>
      <c r="N385">
        <v>4</v>
      </c>
      <c r="O385" t="s">
        <v>59</v>
      </c>
      <c r="P385" t="s">
        <v>36</v>
      </c>
      <c r="Q385">
        <v>222</v>
      </c>
      <c r="R385">
        <v>57</v>
      </c>
      <c r="S385">
        <v>5</v>
      </c>
      <c r="T385" t="s">
        <v>36</v>
      </c>
      <c r="U385" t="s">
        <v>37</v>
      </c>
      <c r="V385" t="s">
        <v>36</v>
      </c>
      <c r="W385" t="s">
        <v>60</v>
      </c>
      <c r="X385">
        <v>2021</v>
      </c>
      <c r="Y385" t="s">
        <v>83</v>
      </c>
      <c r="Z385" t="s">
        <v>75</v>
      </c>
      <c r="AA385" t="s">
        <v>52</v>
      </c>
    </row>
    <row r="386" spans="1:27" x14ac:dyDescent="0.3">
      <c r="A386" t="s">
        <v>505</v>
      </c>
      <c r="B386" t="s">
        <v>43</v>
      </c>
      <c r="C386">
        <v>26</v>
      </c>
      <c r="D386" t="s">
        <v>81</v>
      </c>
      <c r="E386" t="s">
        <v>201</v>
      </c>
      <c r="F386" t="s">
        <v>56</v>
      </c>
      <c r="G386">
        <v>31733</v>
      </c>
      <c r="H386" s="1">
        <v>44201</v>
      </c>
      <c r="I386" t="s">
        <v>107</v>
      </c>
      <c r="J386" t="s">
        <v>91</v>
      </c>
      <c r="K386" t="s">
        <v>34</v>
      </c>
      <c r="L386">
        <v>3</v>
      </c>
      <c r="M386">
        <v>2</v>
      </c>
      <c r="N386">
        <v>4</v>
      </c>
      <c r="O386" t="s">
        <v>59</v>
      </c>
      <c r="P386" t="s">
        <v>37</v>
      </c>
      <c r="Q386">
        <v>160</v>
      </c>
      <c r="R386">
        <v>62</v>
      </c>
      <c r="S386">
        <v>21</v>
      </c>
      <c r="T386" t="s">
        <v>36</v>
      </c>
      <c r="U386" t="s">
        <v>36</v>
      </c>
      <c r="V386" t="s">
        <v>36</v>
      </c>
      <c r="W386" t="s">
        <v>60</v>
      </c>
      <c r="X386">
        <v>2021</v>
      </c>
      <c r="Y386" t="s">
        <v>94</v>
      </c>
      <c r="Z386" t="s">
        <v>75</v>
      </c>
      <c r="AA386" t="s">
        <v>63</v>
      </c>
    </row>
    <row r="387" spans="1:27" x14ac:dyDescent="0.3">
      <c r="A387" t="s">
        <v>506</v>
      </c>
      <c r="B387" t="s">
        <v>28</v>
      </c>
      <c r="C387">
        <v>33</v>
      </c>
      <c r="D387" t="s">
        <v>44</v>
      </c>
      <c r="E387" t="s">
        <v>115</v>
      </c>
      <c r="F387" t="s">
        <v>56</v>
      </c>
      <c r="G387">
        <v>36497</v>
      </c>
      <c r="H387" s="1">
        <v>45242</v>
      </c>
      <c r="I387" t="s">
        <v>47</v>
      </c>
      <c r="J387" t="s">
        <v>101</v>
      </c>
      <c r="K387" t="s">
        <v>34</v>
      </c>
      <c r="L387">
        <v>0</v>
      </c>
      <c r="M387">
        <v>5</v>
      </c>
      <c r="N387">
        <v>1</v>
      </c>
      <c r="O387" t="s">
        <v>59</v>
      </c>
      <c r="P387" t="s">
        <v>37</v>
      </c>
      <c r="Q387">
        <v>200</v>
      </c>
      <c r="R387">
        <v>67</v>
      </c>
      <c r="S387">
        <v>11</v>
      </c>
      <c r="T387" t="s">
        <v>36</v>
      </c>
      <c r="U387" t="s">
        <v>37</v>
      </c>
      <c r="V387" t="s">
        <v>37</v>
      </c>
      <c r="W387" t="s">
        <v>38</v>
      </c>
      <c r="X387">
        <v>2023</v>
      </c>
      <c r="Y387" t="s">
        <v>123</v>
      </c>
      <c r="Z387" t="s">
        <v>40</v>
      </c>
      <c r="AA387" t="s">
        <v>63</v>
      </c>
    </row>
    <row r="388" spans="1:27" x14ac:dyDescent="0.3">
      <c r="A388" t="s">
        <v>507</v>
      </c>
      <c r="B388" t="s">
        <v>43</v>
      </c>
      <c r="C388">
        <v>34</v>
      </c>
      <c r="D388" t="s">
        <v>77</v>
      </c>
      <c r="E388" t="s">
        <v>78</v>
      </c>
      <c r="F388" t="s">
        <v>56</v>
      </c>
      <c r="G388">
        <v>32098</v>
      </c>
      <c r="H388" s="1">
        <v>43522</v>
      </c>
      <c r="I388" t="s">
        <v>32</v>
      </c>
      <c r="J388" t="s">
        <v>101</v>
      </c>
      <c r="K388" t="s">
        <v>34</v>
      </c>
      <c r="L388">
        <v>1</v>
      </c>
      <c r="M388">
        <v>2</v>
      </c>
      <c r="N388">
        <v>1</v>
      </c>
      <c r="O388" t="s">
        <v>68</v>
      </c>
      <c r="P388" t="s">
        <v>37</v>
      </c>
      <c r="Q388">
        <v>239</v>
      </c>
      <c r="R388">
        <v>35</v>
      </c>
      <c r="S388">
        <v>15</v>
      </c>
      <c r="T388" t="s">
        <v>36</v>
      </c>
      <c r="U388" t="s">
        <v>36</v>
      </c>
      <c r="V388" t="s">
        <v>36</v>
      </c>
      <c r="W388" t="s">
        <v>60</v>
      </c>
      <c r="X388">
        <v>2019</v>
      </c>
      <c r="Y388" t="s">
        <v>39</v>
      </c>
      <c r="Z388" t="s">
        <v>40</v>
      </c>
      <c r="AA388" t="s">
        <v>63</v>
      </c>
    </row>
    <row r="389" spans="1:27" x14ac:dyDescent="0.3">
      <c r="A389" t="s">
        <v>508</v>
      </c>
      <c r="B389" t="s">
        <v>28</v>
      </c>
      <c r="C389">
        <v>45</v>
      </c>
      <c r="D389" t="s">
        <v>81</v>
      </c>
      <c r="E389" t="s">
        <v>165</v>
      </c>
      <c r="F389" t="s">
        <v>31</v>
      </c>
      <c r="G389">
        <v>57531</v>
      </c>
      <c r="H389" s="1">
        <v>43555</v>
      </c>
      <c r="I389" t="s">
        <v>47</v>
      </c>
      <c r="J389" t="s">
        <v>99</v>
      </c>
      <c r="K389" t="s">
        <v>49</v>
      </c>
      <c r="L389">
        <v>5</v>
      </c>
      <c r="M389">
        <v>1</v>
      </c>
      <c r="N389">
        <v>2</v>
      </c>
      <c r="O389" t="s">
        <v>68</v>
      </c>
      <c r="P389" t="s">
        <v>37</v>
      </c>
      <c r="Q389">
        <v>244</v>
      </c>
      <c r="R389">
        <v>30</v>
      </c>
      <c r="S389">
        <v>11</v>
      </c>
      <c r="T389" t="s">
        <v>36</v>
      </c>
      <c r="U389" t="s">
        <v>36</v>
      </c>
      <c r="V389" t="s">
        <v>36</v>
      </c>
      <c r="W389" t="s">
        <v>126</v>
      </c>
      <c r="X389">
        <v>2019</v>
      </c>
      <c r="Y389" t="s">
        <v>142</v>
      </c>
      <c r="Z389" t="s">
        <v>70</v>
      </c>
      <c r="AA389" t="s">
        <v>41</v>
      </c>
    </row>
    <row r="390" spans="1:27" x14ac:dyDescent="0.3">
      <c r="A390" t="s">
        <v>509</v>
      </c>
      <c r="B390" t="s">
        <v>28</v>
      </c>
      <c r="C390">
        <v>38</v>
      </c>
      <c r="D390" t="s">
        <v>65</v>
      </c>
      <c r="E390" t="s">
        <v>120</v>
      </c>
      <c r="F390" t="s">
        <v>56</v>
      </c>
      <c r="G390">
        <v>42148</v>
      </c>
      <c r="H390" s="1">
        <v>45496</v>
      </c>
      <c r="I390" t="s">
        <v>47</v>
      </c>
      <c r="J390" t="s">
        <v>101</v>
      </c>
      <c r="K390" t="s">
        <v>34</v>
      </c>
      <c r="L390">
        <v>3</v>
      </c>
      <c r="M390">
        <v>5</v>
      </c>
      <c r="N390">
        <v>5</v>
      </c>
      <c r="O390" t="s">
        <v>59</v>
      </c>
      <c r="P390" t="s">
        <v>36</v>
      </c>
      <c r="Q390">
        <v>220</v>
      </c>
      <c r="R390">
        <v>34</v>
      </c>
      <c r="S390">
        <v>24</v>
      </c>
      <c r="T390" t="s">
        <v>37</v>
      </c>
      <c r="U390" t="s">
        <v>36</v>
      </c>
      <c r="V390" t="s">
        <v>37</v>
      </c>
      <c r="W390" t="s">
        <v>38</v>
      </c>
      <c r="X390">
        <v>2024</v>
      </c>
      <c r="Y390" t="s">
        <v>79</v>
      </c>
      <c r="Z390" t="s">
        <v>62</v>
      </c>
      <c r="AA390" t="s">
        <v>41</v>
      </c>
    </row>
    <row r="391" spans="1:27" x14ac:dyDescent="0.3">
      <c r="A391" t="s">
        <v>510</v>
      </c>
      <c r="B391" t="s">
        <v>28</v>
      </c>
      <c r="C391">
        <v>27</v>
      </c>
      <c r="D391" t="s">
        <v>77</v>
      </c>
      <c r="E391" t="s">
        <v>78</v>
      </c>
      <c r="F391" t="s">
        <v>56</v>
      </c>
      <c r="G391">
        <v>36776</v>
      </c>
      <c r="H391" s="1">
        <v>45404</v>
      </c>
      <c r="I391" t="s">
        <v>47</v>
      </c>
      <c r="J391" t="s">
        <v>99</v>
      </c>
      <c r="K391" t="s">
        <v>58</v>
      </c>
      <c r="L391">
        <v>3</v>
      </c>
      <c r="M391">
        <v>1</v>
      </c>
      <c r="N391">
        <v>4</v>
      </c>
      <c r="O391" t="s">
        <v>50</v>
      </c>
      <c r="P391" t="s">
        <v>36</v>
      </c>
      <c r="Q391">
        <v>232</v>
      </c>
      <c r="R391">
        <v>29</v>
      </c>
      <c r="S391">
        <v>17</v>
      </c>
      <c r="T391" t="s">
        <v>36</v>
      </c>
      <c r="U391" t="s">
        <v>36</v>
      </c>
      <c r="V391" t="s">
        <v>36</v>
      </c>
      <c r="W391" t="s">
        <v>126</v>
      </c>
      <c r="X391">
        <v>2024</v>
      </c>
      <c r="Y391" t="s">
        <v>69</v>
      </c>
      <c r="Z391" t="s">
        <v>75</v>
      </c>
      <c r="AA391" t="s">
        <v>63</v>
      </c>
    </row>
    <row r="392" spans="1:27" x14ac:dyDescent="0.3">
      <c r="A392" t="s">
        <v>511</v>
      </c>
      <c r="B392" t="s">
        <v>28</v>
      </c>
      <c r="C392">
        <v>25</v>
      </c>
      <c r="D392" t="s">
        <v>44</v>
      </c>
      <c r="E392" t="s">
        <v>109</v>
      </c>
      <c r="F392" t="s">
        <v>96</v>
      </c>
      <c r="G392">
        <v>107191</v>
      </c>
      <c r="H392" s="1">
        <v>45064</v>
      </c>
      <c r="I392" t="s">
        <v>107</v>
      </c>
      <c r="J392" t="s">
        <v>48</v>
      </c>
      <c r="K392" t="s">
        <v>34</v>
      </c>
      <c r="L392">
        <v>12</v>
      </c>
      <c r="M392">
        <v>4</v>
      </c>
      <c r="N392">
        <v>3</v>
      </c>
      <c r="O392" t="s">
        <v>59</v>
      </c>
      <c r="P392" t="s">
        <v>36</v>
      </c>
      <c r="Q392">
        <v>252</v>
      </c>
      <c r="R392">
        <v>21</v>
      </c>
      <c r="S392">
        <v>7</v>
      </c>
      <c r="T392" t="s">
        <v>37</v>
      </c>
      <c r="U392" t="s">
        <v>36</v>
      </c>
      <c r="V392" t="s">
        <v>36</v>
      </c>
      <c r="W392" t="s">
        <v>60</v>
      </c>
      <c r="X392">
        <v>2023</v>
      </c>
      <c r="Y392" t="s">
        <v>74</v>
      </c>
      <c r="Z392" t="s">
        <v>104</v>
      </c>
      <c r="AA392" t="s">
        <v>87</v>
      </c>
    </row>
    <row r="393" spans="1:27" x14ac:dyDescent="0.3">
      <c r="A393" t="s">
        <v>512</v>
      </c>
      <c r="B393" t="s">
        <v>43</v>
      </c>
      <c r="C393">
        <v>35</v>
      </c>
      <c r="D393" t="s">
        <v>54</v>
      </c>
      <c r="E393" t="s">
        <v>55</v>
      </c>
      <c r="F393" t="s">
        <v>96</v>
      </c>
      <c r="G393">
        <v>129800</v>
      </c>
      <c r="H393" s="1">
        <v>44323</v>
      </c>
      <c r="I393" t="s">
        <v>32</v>
      </c>
      <c r="J393" t="s">
        <v>73</v>
      </c>
      <c r="K393" t="s">
        <v>34</v>
      </c>
      <c r="L393">
        <v>11</v>
      </c>
      <c r="M393">
        <v>5</v>
      </c>
      <c r="N393">
        <v>1</v>
      </c>
      <c r="O393" t="s">
        <v>35</v>
      </c>
      <c r="P393" t="s">
        <v>37</v>
      </c>
      <c r="Q393">
        <v>195</v>
      </c>
      <c r="R393">
        <v>13</v>
      </c>
      <c r="S393">
        <v>12</v>
      </c>
      <c r="T393" t="s">
        <v>36</v>
      </c>
      <c r="U393" t="s">
        <v>36</v>
      </c>
      <c r="V393" t="s">
        <v>36</v>
      </c>
      <c r="W393" t="s">
        <v>60</v>
      </c>
      <c r="X393">
        <v>2021</v>
      </c>
      <c r="Y393" t="s">
        <v>74</v>
      </c>
      <c r="Z393" t="s">
        <v>40</v>
      </c>
      <c r="AA393" t="s">
        <v>87</v>
      </c>
    </row>
    <row r="394" spans="1:27" x14ac:dyDescent="0.3">
      <c r="A394" t="s">
        <v>513</v>
      </c>
      <c r="B394" t="s">
        <v>28</v>
      </c>
      <c r="C394">
        <v>22</v>
      </c>
      <c r="D394" t="s">
        <v>54</v>
      </c>
      <c r="E394" t="s">
        <v>111</v>
      </c>
      <c r="F394" t="s">
        <v>96</v>
      </c>
      <c r="G394">
        <v>123793</v>
      </c>
      <c r="H394" s="1">
        <v>44921</v>
      </c>
      <c r="I394" t="s">
        <v>47</v>
      </c>
      <c r="J394" t="s">
        <v>101</v>
      </c>
      <c r="K394" t="s">
        <v>58</v>
      </c>
      <c r="L394">
        <v>13</v>
      </c>
      <c r="M394">
        <v>1</v>
      </c>
      <c r="N394">
        <v>5</v>
      </c>
      <c r="O394" t="s">
        <v>35</v>
      </c>
      <c r="P394" t="s">
        <v>36</v>
      </c>
      <c r="Q394">
        <v>169</v>
      </c>
      <c r="R394">
        <v>18</v>
      </c>
      <c r="S394">
        <v>28</v>
      </c>
      <c r="T394" t="s">
        <v>36</v>
      </c>
      <c r="U394" t="s">
        <v>37</v>
      </c>
      <c r="V394" t="s">
        <v>36</v>
      </c>
      <c r="W394" t="s">
        <v>60</v>
      </c>
      <c r="X394">
        <v>2022</v>
      </c>
      <c r="Y394" t="s">
        <v>116</v>
      </c>
      <c r="Z394" t="s">
        <v>104</v>
      </c>
      <c r="AA394" t="s">
        <v>87</v>
      </c>
    </row>
    <row r="395" spans="1:27" x14ac:dyDescent="0.3">
      <c r="A395" t="s">
        <v>514</v>
      </c>
      <c r="B395" t="s">
        <v>28</v>
      </c>
      <c r="C395">
        <v>44</v>
      </c>
      <c r="D395" t="s">
        <v>85</v>
      </c>
      <c r="E395" t="s">
        <v>86</v>
      </c>
      <c r="F395" t="s">
        <v>31</v>
      </c>
      <c r="G395">
        <v>53850</v>
      </c>
      <c r="H395" s="1">
        <v>44662</v>
      </c>
      <c r="I395" t="s">
        <v>107</v>
      </c>
      <c r="J395" t="s">
        <v>91</v>
      </c>
      <c r="K395" t="s">
        <v>58</v>
      </c>
      <c r="L395">
        <v>3</v>
      </c>
      <c r="M395">
        <v>4</v>
      </c>
      <c r="N395">
        <v>5</v>
      </c>
      <c r="O395" t="s">
        <v>35</v>
      </c>
      <c r="P395" t="s">
        <v>36</v>
      </c>
      <c r="Q395">
        <v>243</v>
      </c>
      <c r="R395">
        <v>30</v>
      </c>
      <c r="S395">
        <v>16</v>
      </c>
      <c r="T395" t="s">
        <v>36</v>
      </c>
      <c r="U395" t="s">
        <v>37</v>
      </c>
      <c r="V395" t="s">
        <v>36</v>
      </c>
      <c r="W395" t="s">
        <v>60</v>
      </c>
      <c r="X395">
        <v>2022</v>
      </c>
      <c r="Y395" t="s">
        <v>69</v>
      </c>
      <c r="Z395" t="s">
        <v>70</v>
      </c>
      <c r="AA395" t="s">
        <v>41</v>
      </c>
    </row>
    <row r="396" spans="1:27" x14ac:dyDescent="0.3">
      <c r="A396" t="s">
        <v>515</v>
      </c>
      <c r="B396" t="s">
        <v>28</v>
      </c>
      <c r="C396">
        <v>40</v>
      </c>
      <c r="D396" t="s">
        <v>89</v>
      </c>
      <c r="E396" t="s">
        <v>144</v>
      </c>
      <c r="F396" t="s">
        <v>46</v>
      </c>
      <c r="G396">
        <v>98097</v>
      </c>
      <c r="H396" s="1">
        <v>43815</v>
      </c>
      <c r="I396" t="s">
        <v>32</v>
      </c>
      <c r="J396" t="s">
        <v>73</v>
      </c>
      <c r="K396" t="s">
        <v>34</v>
      </c>
      <c r="L396">
        <v>7</v>
      </c>
      <c r="M396">
        <v>3</v>
      </c>
      <c r="N396">
        <v>3</v>
      </c>
      <c r="O396" t="s">
        <v>59</v>
      </c>
      <c r="P396" t="s">
        <v>36</v>
      </c>
      <c r="Q396">
        <v>246</v>
      </c>
      <c r="R396">
        <v>34</v>
      </c>
      <c r="S396">
        <v>6</v>
      </c>
      <c r="T396" t="s">
        <v>36</v>
      </c>
      <c r="U396" t="s">
        <v>36</v>
      </c>
      <c r="V396" t="s">
        <v>36</v>
      </c>
      <c r="W396" t="s">
        <v>126</v>
      </c>
      <c r="X396">
        <v>2019</v>
      </c>
      <c r="Y396" t="s">
        <v>116</v>
      </c>
      <c r="Z396" t="s">
        <v>62</v>
      </c>
      <c r="AA396" t="s">
        <v>87</v>
      </c>
    </row>
    <row r="397" spans="1:27" x14ac:dyDescent="0.3">
      <c r="A397" t="s">
        <v>516</v>
      </c>
      <c r="B397" t="s">
        <v>43</v>
      </c>
      <c r="C397">
        <v>28</v>
      </c>
      <c r="D397" t="s">
        <v>89</v>
      </c>
      <c r="E397" t="s">
        <v>144</v>
      </c>
      <c r="F397" t="s">
        <v>56</v>
      </c>
      <c r="G397">
        <v>42502</v>
      </c>
      <c r="H397" s="1">
        <v>43506</v>
      </c>
      <c r="I397" t="s">
        <v>32</v>
      </c>
      <c r="J397" t="s">
        <v>118</v>
      </c>
      <c r="K397" t="s">
        <v>58</v>
      </c>
      <c r="L397">
        <v>1</v>
      </c>
      <c r="M397">
        <v>5</v>
      </c>
      <c r="N397">
        <v>1</v>
      </c>
      <c r="O397" t="s">
        <v>59</v>
      </c>
      <c r="P397" t="s">
        <v>37</v>
      </c>
      <c r="Q397">
        <v>193</v>
      </c>
      <c r="R397">
        <v>9</v>
      </c>
      <c r="S397">
        <v>23</v>
      </c>
      <c r="T397" t="s">
        <v>36</v>
      </c>
      <c r="U397" t="s">
        <v>36</v>
      </c>
      <c r="V397" t="s">
        <v>36</v>
      </c>
      <c r="W397" t="s">
        <v>60</v>
      </c>
      <c r="X397">
        <v>2019</v>
      </c>
      <c r="Y397" t="s">
        <v>39</v>
      </c>
      <c r="Z397" t="s">
        <v>75</v>
      </c>
      <c r="AA397" t="s">
        <v>41</v>
      </c>
    </row>
    <row r="398" spans="1:27" x14ac:dyDescent="0.3">
      <c r="A398" t="s">
        <v>517</v>
      </c>
      <c r="B398" t="s">
        <v>28</v>
      </c>
      <c r="C398">
        <v>21</v>
      </c>
      <c r="D398" t="s">
        <v>81</v>
      </c>
      <c r="E398" t="s">
        <v>165</v>
      </c>
      <c r="F398" t="s">
        <v>96</v>
      </c>
      <c r="G398">
        <v>129888</v>
      </c>
      <c r="H398" s="1">
        <v>44750</v>
      </c>
      <c r="I398" t="s">
        <v>47</v>
      </c>
      <c r="J398" t="s">
        <v>33</v>
      </c>
      <c r="K398" t="s">
        <v>34</v>
      </c>
      <c r="L398">
        <v>19</v>
      </c>
      <c r="M398">
        <v>3</v>
      </c>
      <c r="N398">
        <v>1</v>
      </c>
      <c r="O398" t="s">
        <v>59</v>
      </c>
      <c r="P398" t="s">
        <v>36</v>
      </c>
      <c r="Q398">
        <v>217</v>
      </c>
      <c r="R398">
        <v>49</v>
      </c>
      <c r="S398">
        <v>30</v>
      </c>
      <c r="T398" t="s">
        <v>36</v>
      </c>
      <c r="U398" t="s">
        <v>36</v>
      </c>
      <c r="V398" t="s">
        <v>36</v>
      </c>
      <c r="W398" t="s">
        <v>126</v>
      </c>
      <c r="X398">
        <v>2022</v>
      </c>
      <c r="Y398" t="s">
        <v>79</v>
      </c>
      <c r="Z398" t="s">
        <v>104</v>
      </c>
      <c r="AA398" t="s">
        <v>87</v>
      </c>
    </row>
    <row r="399" spans="1:27" x14ac:dyDescent="0.3">
      <c r="A399" t="s">
        <v>518</v>
      </c>
      <c r="B399" t="s">
        <v>28</v>
      </c>
      <c r="C399">
        <v>41</v>
      </c>
      <c r="D399" t="s">
        <v>81</v>
      </c>
      <c r="E399" t="s">
        <v>201</v>
      </c>
      <c r="F399" t="s">
        <v>56</v>
      </c>
      <c r="G399">
        <v>38960</v>
      </c>
      <c r="H399" s="1">
        <v>43982</v>
      </c>
      <c r="I399" t="s">
        <v>107</v>
      </c>
      <c r="J399" t="s">
        <v>91</v>
      </c>
      <c r="K399" t="s">
        <v>34</v>
      </c>
      <c r="L399">
        <v>3</v>
      </c>
      <c r="M399">
        <v>5</v>
      </c>
      <c r="N399">
        <v>5</v>
      </c>
      <c r="O399" t="s">
        <v>68</v>
      </c>
      <c r="P399" t="s">
        <v>36</v>
      </c>
      <c r="Q399">
        <v>177</v>
      </c>
      <c r="R399">
        <v>7</v>
      </c>
      <c r="S399">
        <v>2</v>
      </c>
      <c r="T399" t="s">
        <v>36</v>
      </c>
      <c r="U399" t="s">
        <v>37</v>
      </c>
      <c r="V399" t="s">
        <v>36</v>
      </c>
      <c r="W399" t="s">
        <v>60</v>
      </c>
      <c r="X399">
        <v>2020</v>
      </c>
      <c r="Y399" t="s">
        <v>74</v>
      </c>
      <c r="Z399" t="s">
        <v>70</v>
      </c>
      <c r="AA399" t="s">
        <v>63</v>
      </c>
    </row>
    <row r="400" spans="1:27" x14ac:dyDescent="0.3">
      <c r="A400" t="s">
        <v>519</v>
      </c>
      <c r="B400" t="s">
        <v>28</v>
      </c>
      <c r="C400">
        <v>31</v>
      </c>
      <c r="D400" t="s">
        <v>81</v>
      </c>
      <c r="E400" t="s">
        <v>165</v>
      </c>
      <c r="F400" t="s">
        <v>56</v>
      </c>
      <c r="G400">
        <v>29964</v>
      </c>
      <c r="H400" s="1">
        <v>44529</v>
      </c>
      <c r="I400" t="s">
        <v>98</v>
      </c>
      <c r="J400" t="s">
        <v>99</v>
      </c>
      <c r="K400" t="s">
        <v>49</v>
      </c>
      <c r="L400">
        <v>2</v>
      </c>
      <c r="M400">
        <v>5</v>
      </c>
      <c r="N400">
        <v>3</v>
      </c>
      <c r="O400" t="s">
        <v>50</v>
      </c>
      <c r="P400" t="s">
        <v>37</v>
      </c>
      <c r="Q400">
        <v>156</v>
      </c>
      <c r="R400">
        <v>35</v>
      </c>
      <c r="S400">
        <v>27</v>
      </c>
      <c r="T400" t="s">
        <v>36</v>
      </c>
      <c r="U400" t="s">
        <v>37</v>
      </c>
      <c r="V400" t="s">
        <v>36</v>
      </c>
      <c r="W400" t="s">
        <v>60</v>
      </c>
      <c r="X400">
        <v>2021</v>
      </c>
      <c r="Y400" t="s">
        <v>123</v>
      </c>
      <c r="Z400" t="s">
        <v>40</v>
      </c>
      <c r="AA400" t="s">
        <v>63</v>
      </c>
    </row>
    <row r="401" spans="1:27" x14ac:dyDescent="0.3">
      <c r="A401" t="s">
        <v>520</v>
      </c>
      <c r="B401" t="s">
        <v>43</v>
      </c>
      <c r="C401">
        <v>40</v>
      </c>
      <c r="D401" t="s">
        <v>81</v>
      </c>
      <c r="E401" t="s">
        <v>82</v>
      </c>
      <c r="F401" t="s">
        <v>31</v>
      </c>
      <c r="G401">
        <v>65407</v>
      </c>
      <c r="H401" s="1">
        <v>45594</v>
      </c>
      <c r="I401" t="s">
        <v>107</v>
      </c>
      <c r="J401" t="s">
        <v>101</v>
      </c>
      <c r="K401" t="s">
        <v>58</v>
      </c>
      <c r="L401">
        <v>5</v>
      </c>
      <c r="M401">
        <v>2</v>
      </c>
      <c r="N401">
        <v>1</v>
      </c>
      <c r="O401" t="s">
        <v>68</v>
      </c>
      <c r="P401" t="s">
        <v>36</v>
      </c>
      <c r="Q401">
        <v>216</v>
      </c>
      <c r="R401">
        <v>59</v>
      </c>
      <c r="S401">
        <v>28</v>
      </c>
      <c r="T401" t="s">
        <v>36</v>
      </c>
      <c r="U401" t="s">
        <v>36</v>
      </c>
      <c r="V401" t="s">
        <v>36</v>
      </c>
      <c r="W401" t="s">
        <v>60</v>
      </c>
      <c r="X401">
        <v>2024</v>
      </c>
      <c r="Y401" t="s">
        <v>83</v>
      </c>
      <c r="Z401" t="s">
        <v>62</v>
      </c>
      <c r="AA401" t="s">
        <v>52</v>
      </c>
    </row>
    <row r="402" spans="1:27" x14ac:dyDescent="0.3">
      <c r="A402" t="s">
        <v>521</v>
      </c>
      <c r="B402" t="s">
        <v>28</v>
      </c>
      <c r="C402">
        <v>21</v>
      </c>
      <c r="D402" t="s">
        <v>29</v>
      </c>
      <c r="E402" t="s">
        <v>122</v>
      </c>
      <c r="F402" t="s">
        <v>31</v>
      </c>
      <c r="G402">
        <v>57605</v>
      </c>
      <c r="H402" s="1">
        <v>45293</v>
      </c>
      <c r="I402" t="s">
        <v>98</v>
      </c>
      <c r="J402" t="s">
        <v>118</v>
      </c>
      <c r="K402" t="s">
        <v>49</v>
      </c>
      <c r="L402">
        <v>3</v>
      </c>
      <c r="M402">
        <v>1</v>
      </c>
      <c r="N402">
        <v>3</v>
      </c>
      <c r="O402" t="s">
        <v>59</v>
      </c>
      <c r="P402" t="s">
        <v>36</v>
      </c>
      <c r="Q402">
        <v>217</v>
      </c>
      <c r="R402">
        <v>59</v>
      </c>
      <c r="S402">
        <v>16</v>
      </c>
      <c r="T402" t="s">
        <v>36</v>
      </c>
      <c r="U402" t="s">
        <v>36</v>
      </c>
      <c r="V402" t="s">
        <v>36</v>
      </c>
      <c r="W402" t="s">
        <v>126</v>
      </c>
      <c r="X402">
        <v>2024</v>
      </c>
      <c r="Y402" t="s">
        <v>94</v>
      </c>
      <c r="Z402" t="s">
        <v>104</v>
      </c>
      <c r="AA402" t="s">
        <v>41</v>
      </c>
    </row>
    <row r="403" spans="1:27" x14ac:dyDescent="0.3">
      <c r="A403" t="s">
        <v>522</v>
      </c>
      <c r="B403" t="s">
        <v>43</v>
      </c>
      <c r="C403">
        <v>27</v>
      </c>
      <c r="D403" t="s">
        <v>85</v>
      </c>
      <c r="E403" t="s">
        <v>168</v>
      </c>
      <c r="F403" t="s">
        <v>31</v>
      </c>
      <c r="G403">
        <v>57884</v>
      </c>
      <c r="H403" s="1">
        <v>45340</v>
      </c>
      <c r="I403" t="s">
        <v>57</v>
      </c>
      <c r="J403" t="s">
        <v>73</v>
      </c>
      <c r="K403" t="s">
        <v>34</v>
      </c>
      <c r="L403">
        <v>7</v>
      </c>
      <c r="M403">
        <v>2</v>
      </c>
      <c r="N403">
        <v>5</v>
      </c>
      <c r="O403" t="s">
        <v>50</v>
      </c>
      <c r="P403" t="s">
        <v>36</v>
      </c>
      <c r="Q403">
        <v>165</v>
      </c>
      <c r="R403">
        <v>20</v>
      </c>
      <c r="S403">
        <v>21</v>
      </c>
      <c r="T403" t="s">
        <v>36</v>
      </c>
      <c r="U403" t="s">
        <v>36</v>
      </c>
      <c r="V403" t="s">
        <v>36</v>
      </c>
      <c r="W403" t="s">
        <v>60</v>
      </c>
      <c r="X403">
        <v>2024</v>
      </c>
      <c r="Y403" t="s">
        <v>39</v>
      </c>
      <c r="Z403" t="s">
        <v>75</v>
      </c>
      <c r="AA403" t="s">
        <v>41</v>
      </c>
    </row>
    <row r="404" spans="1:27" x14ac:dyDescent="0.3">
      <c r="A404" t="s">
        <v>523</v>
      </c>
      <c r="B404" t="s">
        <v>28</v>
      </c>
      <c r="C404">
        <v>32</v>
      </c>
      <c r="D404" t="s">
        <v>65</v>
      </c>
      <c r="E404" t="s">
        <v>66</v>
      </c>
      <c r="F404" t="s">
        <v>56</v>
      </c>
      <c r="G404">
        <v>33023</v>
      </c>
      <c r="H404" s="1">
        <v>44987</v>
      </c>
      <c r="I404" t="s">
        <v>32</v>
      </c>
      <c r="J404" t="s">
        <v>73</v>
      </c>
      <c r="K404" t="s">
        <v>34</v>
      </c>
      <c r="L404">
        <v>0</v>
      </c>
      <c r="M404">
        <v>3</v>
      </c>
      <c r="N404">
        <v>3</v>
      </c>
      <c r="O404" t="s">
        <v>59</v>
      </c>
      <c r="P404" t="s">
        <v>36</v>
      </c>
      <c r="Q404">
        <v>187</v>
      </c>
      <c r="R404">
        <v>11</v>
      </c>
      <c r="S404">
        <v>30</v>
      </c>
      <c r="T404" t="s">
        <v>36</v>
      </c>
      <c r="U404" t="s">
        <v>36</v>
      </c>
      <c r="V404" t="s">
        <v>37</v>
      </c>
      <c r="W404" t="s">
        <v>38</v>
      </c>
      <c r="X404">
        <v>2023</v>
      </c>
      <c r="Y404" t="s">
        <v>142</v>
      </c>
      <c r="Z404" t="s">
        <v>40</v>
      </c>
      <c r="AA404" t="s">
        <v>63</v>
      </c>
    </row>
    <row r="405" spans="1:27" x14ac:dyDescent="0.3">
      <c r="A405" t="s">
        <v>524</v>
      </c>
      <c r="B405" t="s">
        <v>43</v>
      </c>
      <c r="C405">
        <v>32</v>
      </c>
      <c r="D405" t="s">
        <v>44</v>
      </c>
      <c r="E405" t="s">
        <v>115</v>
      </c>
      <c r="F405" t="s">
        <v>96</v>
      </c>
      <c r="G405">
        <v>90273</v>
      </c>
      <c r="H405" s="1">
        <v>45708</v>
      </c>
      <c r="I405" t="s">
        <v>98</v>
      </c>
      <c r="J405" t="s">
        <v>101</v>
      </c>
      <c r="K405" t="s">
        <v>49</v>
      </c>
      <c r="L405">
        <v>9</v>
      </c>
      <c r="M405">
        <v>3</v>
      </c>
      <c r="N405">
        <v>1</v>
      </c>
      <c r="O405" t="s">
        <v>59</v>
      </c>
      <c r="P405" t="s">
        <v>37</v>
      </c>
      <c r="Q405">
        <v>203</v>
      </c>
      <c r="R405">
        <v>65</v>
      </c>
      <c r="S405">
        <v>28</v>
      </c>
      <c r="T405" t="s">
        <v>36</v>
      </c>
      <c r="U405" t="s">
        <v>36</v>
      </c>
      <c r="V405" t="s">
        <v>36</v>
      </c>
      <c r="W405" t="s">
        <v>60</v>
      </c>
      <c r="X405">
        <v>2025</v>
      </c>
      <c r="Y405" t="s">
        <v>39</v>
      </c>
      <c r="Z405" t="s">
        <v>40</v>
      </c>
      <c r="AA405" t="s">
        <v>87</v>
      </c>
    </row>
    <row r="406" spans="1:27" x14ac:dyDescent="0.3">
      <c r="A406" t="s">
        <v>525</v>
      </c>
      <c r="B406" t="s">
        <v>28</v>
      </c>
      <c r="C406">
        <v>28</v>
      </c>
      <c r="D406" t="s">
        <v>89</v>
      </c>
      <c r="E406" t="s">
        <v>130</v>
      </c>
      <c r="F406" t="s">
        <v>96</v>
      </c>
      <c r="G406">
        <v>109527</v>
      </c>
      <c r="H406" s="1">
        <v>44798</v>
      </c>
      <c r="I406" t="s">
        <v>47</v>
      </c>
      <c r="J406" t="s">
        <v>91</v>
      </c>
      <c r="K406" t="s">
        <v>34</v>
      </c>
      <c r="L406">
        <v>19</v>
      </c>
      <c r="M406">
        <v>1</v>
      </c>
      <c r="N406">
        <v>5</v>
      </c>
      <c r="O406" t="s">
        <v>35</v>
      </c>
      <c r="P406" t="s">
        <v>36</v>
      </c>
      <c r="Q406">
        <v>229</v>
      </c>
      <c r="R406">
        <v>61</v>
      </c>
      <c r="S406">
        <v>25</v>
      </c>
      <c r="T406" t="s">
        <v>36</v>
      </c>
      <c r="U406" t="s">
        <v>36</v>
      </c>
      <c r="V406" t="s">
        <v>36</v>
      </c>
      <c r="W406" t="s">
        <v>60</v>
      </c>
      <c r="X406">
        <v>2022</v>
      </c>
      <c r="Y406" t="s">
        <v>128</v>
      </c>
      <c r="Z406" t="s">
        <v>75</v>
      </c>
      <c r="AA406" t="s">
        <v>87</v>
      </c>
    </row>
    <row r="407" spans="1:27" x14ac:dyDescent="0.3">
      <c r="A407" t="s">
        <v>526</v>
      </c>
      <c r="B407" t="s">
        <v>28</v>
      </c>
      <c r="C407">
        <v>36</v>
      </c>
      <c r="D407" t="s">
        <v>29</v>
      </c>
      <c r="E407" t="s">
        <v>30</v>
      </c>
      <c r="F407" t="s">
        <v>56</v>
      </c>
      <c r="G407">
        <v>30790</v>
      </c>
      <c r="H407" s="1">
        <v>46000</v>
      </c>
      <c r="I407" t="s">
        <v>98</v>
      </c>
      <c r="J407" t="s">
        <v>99</v>
      </c>
      <c r="K407" t="s">
        <v>58</v>
      </c>
      <c r="L407">
        <v>1</v>
      </c>
      <c r="M407">
        <v>5</v>
      </c>
      <c r="N407">
        <v>5</v>
      </c>
      <c r="O407" t="s">
        <v>68</v>
      </c>
      <c r="P407" t="s">
        <v>37</v>
      </c>
      <c r="Q407">
        <v>222</v>
      </c>
      <c r="R407">
        <v>7</v>
      </c>
      <c r="S407">
        <v>10</v>
      </c>
      <c r="T407" t="s">
        <v>37</v>
      </c>
      <c r="U407" t="s">
        <v>36</v>
      </c>
      <c r="V407" t="s">
        <v>36</v>
      </c>
      <c r="W407" t="s">
        <v>60</v>
      </c>
      <c r="X407">
        <v>2025</v>
      </c>
      <c r="Y407" t="s">
        <v>116</v>
      </c>
      <c r="Z407" t="s">
        <v>62</v>
      </c>
      <c r="AA407" t="s">
        <v>63</v>
      </c>
    </row>
    <row r="408" spans="1:27" x14ac:dyDescent="0.3">
      <c r="A408" t="s">
        <v>527</v>
      </c>
      <c r="B408" t="s">
        <v>43</v>
      </c>
      <c r="C408">
        <v>24</v>
      </c>
      <c r="D408" t="s">
        <v>54</v>
      </c>
      <c r="E408" t="s">
        <v>207</v>
      </c>
      <c r="F408" t="s">
        <v>96</v>
      </c>
      <c r="G408">
        <v>95896</v>
      </c>
      <c r="H408" s="1">
        <v>43561</v>
      </c>
      <c r="I408" t="s">
        <v>107</v>
      </c>
      <c r="J408" t="s">
        <v>118</v>
      </c>
      <c r="K408" t="s">
        <v>49</v>
      </c>
      <c r="L408">
        <v>15</v>
      </c>
      <c r="M408">
        <v>3</v>
      </c>
      <c r="N408">
        <v>4</v>
      </c>
      <c r="O408" t="s">
        <v>35</v>
      </c>
      <c r="P408" t="s">
        <v>37</v>
      </c>
      <c r="Q408">
        <v>203</v>
      </c>
      <c r="R408">
        <v>19</v>
      </c>
      <c r="S408">
        <v>5</v>
      </c>
      <c r="T408" t="s">
        <v>36</v>
      </c>
      <c r="U408" t="s">
        <v>37</v>
      </c>
      <c r="V408" t="s">
        <v>36</v>
      </c>
      <c r="W408" t="s">
        <v>60</v>
      </c>
      <c r="X408">
        <v>2019</v>
      </c>
      <c r="Y408" t="s">
        <v>69</v>
      </c>
      <c r="Z408" t="s">
        <v>104</v>
      </c>
      <c r="AA408" t="s">
        <v>87</v>
      </c>
    </row>
    <row r="409" spans="1:27" x14ac:dyDescent="0.3">
      <c r="A409" t="s">
        <v>528</v>
      </c>
      <c r="B409" t="s">
        <v>43</v>
      </c>
      <c r="C409">
        <v>31</v>
      </c>
      <c r="D409" t="s">
        <v>85</v>
      </c>
      <c r="E409" t="s">
        <v>168</v>
      </c>
      <c r="F409" t="s">
        <v>46</v>
      </c>
      <c r="G409">
        <v>70873</v>
      </c>
      <c r="H409" s="1">
        <v>44722</v>
      </c>
      <c r="I409" t="s">
        <v>57</v>
      </c>
      <c r="J409" t="s">
        <v>67</v>
      </c>
      <c r="K409" t="s">
        <v>49</v>
      </c>
      <c r="L409">
        <v>7</v>
      </c>
      <c r="M409">
        <v>4</v>
      </c>
      <c r="N409">
        <v>2</v>
      </c>
      <c r="O409" t="s">
        <v>35</v>
      </c>
      <c r="P409" t="s">
        <v>37</v>
      </c>
      <c r="Q409">
        <v>228</v>
      </c>
      <c r="R409">
        <v>45</v>
      </c>
      <c r="S409">
        <v>6</v>
      </c>
      <c r="T409" t="s">
        <v>36</v>
      </c>
      <c r="U409" t="s">
        <v>36</v>
      </c>
      <c r="V409" t="s">
        <v>37</v>
      </c>
      <c r="W409" t="s">
        <v>38</v>
      </c>
      <c r="X409">
        <v>2022</v>
      </c>
      <c r="Y409" t="s">
        <v>61</v>
      </c>
      <c r="Z409" t="s">
        <v>40</v>
      </c>
      <c r="AA409" t="s">
        <v>52</v>
      </c>
    </row>
    <row r="410" spans="1:27" x14ac:dyDescent="0.3">
      <c r="A410" t="s">
        <v>529</v>
      </c>
      <c r="B410" t="s">
        <v>43</v>
      </c>
      <c r="C410">
        <v>32</v>
      </c>
      <c r="D410" t="s">
        <v>81</v>
      </c>
      <c r="E410" t="s">
        <v>165</v>
      </c>
      <c r="F410" t="s">
        <v>56</v>
      </c>
      <c r="G410">
        <v>29699</v>
      </c>
      <c r="H410" s="1">
        <v>44447</v>
      </c>
      <c r="I410" t="s">
        <v>107</v>
      </c>
      <c r="J410" t="s">
        <v>99</v>
      </c>
      <c r="K410" t="s">
        <v>49</v>
      </c>
      <c r="L410">
        <v>1</v>
      </c>
      <c r="M410">
        <v>5</v>
      </c>
      <c r="N410">
        <v>5</v>
      </c>
      <c r="O410" t="s">
        <v>59</v>
      </c>
      <c r="P410" t="s">
        <v>37</v>
      </c>
      <c r="Q410">
        <v>213</v>
      </c>
      <c r="R410">
        <v>75</v>
      </c>
      <c r="S410">
        <v>15</v>
      </c>
      <c r="T410" t="s">
        <v>37</v>
      </c>
      <c r="U410" t="s">
        <v>36</v>
      </c>
      <c r="V410" t="s">
        <v>36</v>
      </c>
      <c r="W410" t="s">
        <v>126</v>
      </c>
      <c r="X410">
        <v>2021</v>
      </c>
      <c r="Y410" t="s">
        <v>51</v>
      </c>
      <c r="Z410" t="s">
        <v>40</v>
      </c>
      <c r="AA410" t="s">
        <v>63</v>
      </c>
    </row>
    <row r="411" spans="1:27" x14ac:dyDescent="0.3">
      <c r="A411" t="s">
        <v>530</v>
      </c>
      <c r="B411" t="s">
        <v>28</v>
      </c>
      <c r="C411">
        <v>35</v>
      </c>
      <c r="D411" t="s">
        <v>77</v>
      </c>
      <c r="E411" t="s">
        <v>138</v>
      </c>
      <c r="F411" t="s">
        <v>56</v>
      </c>
      <c r="G411">
        <v>36819</v>
      </c>
      <c r="H411" s="1">
        <v>44474</v>
      </c>
      <c r="I411" t="s">
        <v>98</v>
      </c>
      <c r="J411" t="s">
        <v>33</v>
      </c>
      <c r="K411" t="s">
        <v>58</v>
      </c>
      <c r="L411">
        <v>0</v>
      </c>
      <c r="M411">
        <v>5</v>
      </c>
      <c r="N411">
        <v>2</v>
      </c>
      <c r="O411" t="s">
        <v>50</v>
      </c>
      <c r="P411" t="s">
        <v>36</v>
      </c>
      <c r="Q411">
        <v>222</v>
      </c>
      <c r="R411">
        <v>74</v>
      </c>
      <c r="S411">
        <v>7</v>
      </c>
      <c r="T411" t="s">
        <v>37</v>
      </c>
      <c r="U411" t="s">
        <v>36</v>
      </c>
      <c r="V411" t="s">
        <v>36</v>
      </c>
      <c r="W411" t="s">
        <v>126</v>
      </c>
      <c r="X411">
        <v>2021</v>
      </c>
      <c r="Y411" t="s">
        <v>83</v>
      </c>
      <c r="Z411" t="s">
        <v>40</v>
      </c>
      <c r="AA411" t="s">
        <v>63</v>
      </c>
    </row>
    <row r="412" spans="1:27" x14ac:dyDescent="0.3">
      <c r="A412" t="s">
        <v>531</v>
      </c>
      <c r="B412" t="s">
        <v>43</v>
      </c>
      <c r="C412">
        <v>36</v>
      </c>
      <c r="D412" t="s">
        <v>29</v>
      </c>
      <c r="E412" t="s">
        <v>103</v>
      </c>
      <c r="F412" t="s">
        <v>96</v>
      </c>
      <c r="G412">
        <v>127912</v>
      </c>
      <c r="H412" s="1">
        <v>44151</v>
      </c>
      <c r="I412" t="s">
        <v>47</v>
      </c>
      <c r="J412" t="s">
        <v>91</v>
      </c>
      <c r="K412" t="s">
        <v>34</v>
      </c>
      <c r="L412">
        <v>18</v>
      </c>
      <c r="M412">
        <v>1</v>
      </c>
      <c r="N412">
        <v>1</v>
      </c>
      <c r="O412" t="s">
        <v>68</v>
      </c>
      <c r="P412" t="s">
        <v>36</v>
      </c>
      <c r="Q412">
        <v>184</v>
      </c>
      <c r="R412">
        <v>79</v>
      </c>
      <c r="S412">
        <v>28</v>
      </c>
      <c r="T412" t="s">
        <v>36</v>
      </c>
      <c r="U412" t="s">
        <v>36</v>
      </c>
      <c r="V412" t="s">
        <v>36</v>
      </c>
      <c r="W412" t="s">
        <v>60</v>
      </c>
      <c r="X412">
        <v>2020</v>
      </c>
      <c r="Y412" t="s">
        <v>123</v>
      </c>
      <c r="Z412" t="s">
        <v>62</v>
      </c>
      <c r="AA412" t="s">
        <v>87</v>
      </c>
    </row>
    <row r="413" spans="1:27" x14ac:dyDescent="0.3">
      <c r="A413" t="s">
        <v>532</v>
      </c>
      <c r="B413" t="s">
        <v>28</v>
      </c>
      <c r="C413">
        <v>24</v>
      </c>
      <c r="D413" t="s">
        <v>85</v>
      </c>
      <c r="E413" t="s">
        <v>86</v>
      </c>
      <c r="F413" t="s">
        <v>46</v>
      </c>
      <c r="G413">
        <v>70879</v>
      </c>
      <c r="H413" s="1">
        <v>43969</v>
      </c>
      <c r="I413" t="s">
        <v>107</v>
      </c>
      <c r="J413" t="s">
        <v>91</v>
      </c>
      <c r="K413" t="s">
        <v>34</v>
      </c>
      <c r="L413">
        <v>11</v>
      </c>
      <c r="M413">
        <v>2</v>
      </c>
      <c r="N413">
        <v>5</v>
      </c>
      <c r="O413" t="s">
        <v>50</v>
      </c>
      <c r="P413" t="s">
        <v>36</v>
      </c>
      <c r="Q413">
        <v>205</v>
      </c>
      <c r="R413">
        <v>62</v>
      </c>
      <c r="S413">
        <v>10</v>
      </c>
      <c r="T413" t="s">
        <v>37</v>
      </c>
      <c r="U413" t="s">
        <v>36</v>
      </c>
      <c r="V413" t="s">
        <v>36</v>
      </c>
      <c r="W413" t="s">
        <v>60</v>
      </c>
      <c r="X413">
        <v>2020</v>
      </c>
      <c r="Y413" t="s">
        <v>74</v>
      </c>
      <c r="Z413" t="s">
        <v>104</v>
      </c>
      <c r="AA413" t="s">
        <v>52</v>
      </c>
    </row>
    <row r="414" spans="1:27" x14ac:dyDescent="0.3">
      <c r="A414" t="s">
        <v>533</v>
      </c>
      <c r="B414" t="s">
        <v>43</v>
      </c>
      <c r="C414">
        <v>21</v>
      </c>
      <c r="D414" t="s">
        <v>44</v>
      </c>
      <c r="E414" t="s">
        <v>45</v>
      </c>
      <c r="F414" t="s">
        <v>46</v>
      </c>
      <c r="G414">
        <v>66040</v>
      </c>
      <c r="H414" s="1">
        <v>46113</v>
      </c>
      <c r="I414" t="s">
        <v>47</v>
      </c>
      <c r="J414" t="s">
        <v>101</v>
      </c>
      <c r="K414" t="s">
        <v>49</v>
      </c>
      <c r="L414">
        <v>7</v>
      </c>
      <c r="M414">
        <v>1</v>
      </c>
      <c r="N414">
        <v>5</v>
      </c>
      <c r="O414" t="s">
        <v>35</v>
      </c>
      <c r="P414" t="s">
        <v>36</v>
      </c>
      <c r="Q414">
        <v>150</v>
      </c>
      <c r="R414">
        <v>14</v>
      </c>
      <c r="S414">
        <v>19</v>
      </c>
      <c r="T414" t="s">
        <v>37</v>
      </c>
      <c r="U414" t="s">
        <v>37</v>
      </c>
      <c r="V414" t="s">
        <v>36</v>
      </c>
      <c r="W414" t="s">
        <v>126</v>
      </c>
      <c r="X414">
        <v>2026</v>
      </c>
      <c r="Y414" t="s">
        <v>69</v>
      </c>
      <c r="Z414" t="s">
        <v>104</v>
      </c>
      <c r="AA414" t="s">
        <v>52</v>
      </c>
    </row>
    <row r="415" spans="1:27" x14ac:dyDescent="0.3">
      <c r="A415" t="s">
        <v>534</v>
      </c>
      <c r="B415" t="s">
        <v>28</v>
      </c>
      <c r="C415">
        <v>40</v>
      </c>
      <c r="D415" t="s">
        <v>65</v>
      </c>
      <c r="E415" t="s">
        <v>72</v>
      </c>
      <c r="F415" t="s">
        <v>46</v>
      </c>
      <c r="G415">
        <v>90346</v>
      </c>
      <c r="H415" s="1">
        <v>43500</v>
      </c>
      <c r="I415" t="s">
        <v>57</v>
      </c>
      <c r="J415" t="s">
        <v>67</v>
      </c>
      <c r="K415" t="s">
        <v>34</v>
      </c>
      <c r="L415">
        <v>7</v>
      </c>
      <c r="M415">
        <v>1</v>
      </c>
      <c r="N415">
        <v>4</v>
      </c>
      <c r="O415" t="s">
        <v>50</v>
      </c>
      <c r="P415" t="s">
        <v>36</v>
      </c>
      <c r="Q415">
        <v>174</v>
      </c>
      <c r="R415">
        <v>29</v>
      </c>
      <c r="S415">
        <v>4</v>
      </c>
      <c r="T415" t="s">
        <v>36</v>
      </c>
      <c r="U415" t="s">
        <v>36</v>
      </c>
      <c r="V415" t="s">
        <v>37</v>
      </c>
      <c r="W415" t="s">
        <v>38</v>
      </c>
      <c r="X415">
        <v>2019</v>
      </c>
      <c r="Y415" t="s">
        <v>39</v>
      </c>
      <c r="Z415" t="s">
        <v>62</v>
      </c>
      <c r="AA415" t="s">
        <v>87</v>
      </c>
    </row>
    <row r="416" spans="1:27" x14ac:dyDescent="0.3">
      <c r="A416" t="s">
        <v>535</v>
      </c>
      <c r="B416" t="s">
        <v>43</v>
      </c>
      <c r="C416">
        <v>34</v>
      </c>
      <c r="D416" t="s">
        <v>44</v>
      </c>
      <c r="E416" t="s">
        <v>115</v>
      </c>
      <c r="F416" t="s">
        <v>96</v>
      </c>
      <c r="G416">
        <v>137579</v>
      </c>
      <c r="H416" s="1">
        <v>44615</v>
      </c>
      <c r="I416" t="s">
        <v>47</v>
      </c>
      <c r="J416" t="s">
        <v>48</v>
      </c>
      <c r="K416" t="s">
        <v>49</v>
      </c>
      <c r="L416">
        <v>8</v>
      </c>
      <c r="M416">
        <v>4</v>
      </c>
      <c r="N416">
        <v>5</v>
      </c>
      <c r="O416" t="s">
        <v>59</v>
      </c>
      <c r="P416" t="s">
        <v>37</v>
      </c>
      <c r="Q416">
        <v>150</v>
      </c>
      <c r="R416">
        <v>26</v>
      </c>
      <c r="S416">
        <v>19</v>
      </c>
      <c r="T416" t="s">
        <v>37</v>
      </c>
      <c r="U416" t="s">
        <v>36</v>
      </c>
      <c r="V416" t="s">
        <v>36</v>
      </c>
      <c r="W416" t="s">
        <v>60</v>
      </c>
      <c r="X416">
        <v>2022</v>
      </c>
      <c r="Y416" t="s">
        <v>39</v>
      </c>
      <c r="Z416" t="s">
        <v>40</v>
      </c>
      <c r="AA416" t="s">
        <v>105</v>
      </c>
    </row>
    <row r="417" spans="1:27" x14ac:dyDescent="0.3">
      <c r="A417" t="s">
        <v>536</v>
      </c>
      <c r="B417" t="s">
        <v>28</v>
      </c>
      <c r="C417">
        <v>26</v>
      </c>
      <c r="D417" t="s">
        <v>85</v>
      </c>
      <c r="E417" t="s">
        <v>86</v>
      </c>
      <c r="F417" t="s">
        <v>31</v>
      </c>
      <c r="G417">
        <v>50507</v>
      </c>
      <c r="H417" s="1">
        <v>44399</v>
      </c>
      <c r="I417" t="s">
        <v>98</v>
      </c>
      <c r="J417" t="s">
        <v>67</v>
      </c>
      <c r="K417" t="s">
        <v>34</v>
      </c>
      <c r="L417">
        <v>6</v>
      </c>
      <c r="M417">
        <v>5</v>
      </c>
      <c r="N417">
        <v>3</v>
      </c>
      <c r="O417" t="s">
        <v>59</v>
      </c>
      <c r="P417" t="s">
        <v>37</v>
      </c>
      <c r="Q417">
        <v>258</v>
      </c>
      <c r="R417">
        <v>5</v>
      </c>
      <c r="S417">
        <v>15</v>
      </c>
      <c r="T417" t="s">
        <v>36</v>
      </c>
      <c r="U417" t="s">
        <v>37</v>
      </c>
      <c r="V417" t="s">
        <v>36</v>
      </c>
      <c r="W417" t="s">
        <v>60</v>
      </c>
      <c r="X417">
        <v>2021</v>
      </c>
      <c r="Y417" t="s">
        <v>79</v>
      </c>
      <c r="Z417" t="s">
        <v>75</v>
      </c>
      <c r="AA417" t="s">
        <v>41</v>
      </c>
    </row>
    <row r="418" spans="1:27" x14ac:dyDescent="0.3">
      <c r="A418" t="s">
        <v>537</v>
      </c>
      <c r="B418" t="s">
        <v>43</v>
      </c>
      <c r="C418">
        <v>42</v>
      </c>
      <c r="D418" t="s">
        <v>77</v>
      </c>
      <c r="E418" t="s">
        <v>133</v>
      </c>
      <c r="F418" t="s">
        <v>46</v>
      </c>
      <c r="G418">
        <v>72976</v>
      </c>
      <c r="H418" s="1">
        <v>45377</v>
      </c>
      <c r="I418" t="s">
        <v>32</v>
      </c>
      <c r="J418" t="s">
        <v>99</v>
      </c>
      <c r="K418" t="s">
        <v>49</v>
      </c>
      <c r="L418">
        <v>13</v>
      </c>
      <c r="M418">
        <v>4</v>
      </c>
      <c r="N418">
        <v>3</v>
      </c>
      <c r="O418" t="s">
        <v>59</v>
      </c>
      <c r="P418" t="s">
        <v>36</v>
      </c>
      <c r="Q418">
        <v>247</v>
      </c>
      <c r="R418">
        <v>73</v>
      </c>
      <c r="S418">
        <v>16</v>
      </c>
      <c r="T418" t="s">
        <v>36</v>
      </c>
      <c r="U418" t="s">
        <v>37</v>
      </c>
      <c r="V418" t="s">
        <v>36</v>
      </c>
      <c r="W418" t="s">
        <v>60</v>
      </c>
      <c r="X418">
        <v>2024</v>
      </c>
      <c r="Y418" t="s">
        <v>142</v>
      </c>
      <c r="Z418" t="s">
        <v>70</v>
      </c>
      <c r="AA418" t="s">
        <v>52</v>
      </c>
    </row>
    <row r="419" spans="1:27" x14ac:dyDescent="0.3">
      <c r="A419" t="s">
        <v>538</v>
      </c>
      <c r="B419" t="s">
        <v>43</v>
      </c>
      <c r="C419">
        <v>32</v>
      </c>
      <c r="D419" t="s">
        <v>44</v>
      </c>
      <c r="E419" t="s">
        <v>109</v>
      </c>
      <c r="F419" t="s">
        <v>56</v>
      </c>
      <c r="G419">
        <v>28831</v>
      </c>
      <c r="H419" s="1">
        <v>45201</v>
      </c>
      <c r="I419" t="s">
        <v>57</v>
      </c>
      <c r="J419" t="s">
        <v>99</v>
      </c>
      <c r="K419" t="s">
        <v>49</v>
      </c>
      <c r="L419">
        <v>1</v>
      </c>
      <c r="M419">
        <v>1</v>
      </c>
      <c r="N419">
        <v>2</v>
      </c>
      <c r="O419" t="s">
        <v>59</v>
      </c>
      <c r="P419" t="s">
        <v>37</v>
      </c>
      <c r="Q419">
        <v>171</v>
      </c>
      <c r="R419">
        <v>8</v>
      </c>
      <c r="S419">
        <v>20</v>
      </c>
      <c r="T419" t="s">
        <v>36</v>
      </c>
      <c r="U419" t="s">
        <v>36</v>
      </c>
      <c r="V419" t="s">
        <v>36</v>
      </c>
      <c r="W419" t="s">
        <v>60</v>
      </c>
      <c r="X419">
        <v>2023</v>
      </c>
      <c r="Y419" t="s">
        <v>83</v>
      </c>
      <c r="Z419" t="s">
        <v>40</v>
      </c>
      <c r="AA419" t="s">
        <v>63</v>
      </c>
    </row>
    <row r="420" spans="1:27" x14ac:dyDescent="0.3">
      <c r="A420" t="s">
        <v>539</v>
      </c>
      <c r="B420" t="s">
        <v>43</v>
      </c>
      <c r="C420">
        <v>40</v>
      </c>
      <c r="D420" t="s">
        <v>44</v>
      </c>
      <c r="E420" t="s">
        <v>219</v>
      </c>
      <c r="F420" t="s">
        <v>96</v>
      </c>
      <c r="G420">
        <v>121242</v>
      </c>
      <c r="H420" s="1">
        <v>43688</v>
      </c>
      <c r="I420" t="s">
        <v>47</v>
      </c>
      <c r="J420" t="s">
        <v>48</v>
      </c>
      <c r="K420" t="s">
        <v>58</v>
      </c>
      <c r="L420">
        <v>13</v>
      </c>
      <c r="M420">
        <v>3</v>
      </c>
      <c r="N420">
        <v>5</v>
      </c>
      <c r="O420" t="s">
        <v>35</v>
      </c>
      <c r="P420" t="s">
        <v>37</v>
      </c>
      <c r="Q420">
        <v>159</v>
      </c>
      <c r="R420">
        <v>9</v>
      </c>
      <c r="S420">
        <v>14</v>
      </c>
      <c r="T420" t="s">
        <v>36</v>
      </c>
      <c r="U420" t="s">
        <v>36</v>
      </c>
      <c r="V420" t="s">
        <v>36</v>
      </c>
      <c r="W420" t="s">
        <v>60</v>
      </c>
      <c r="X420">
        <v>2019</v>
      </c>
      <c r="Y420" t="s">
        <v>128</v>
      </c>
      <c r="Z420" t="s">
        <v>62</v>
      </c>
      <c r="AA420" t="s">
        <v>87</v>
      </c>
    </row>
    <row r="421" spans="1:27" x14ac:dyDescent="0.3">
      <c r="A421" t="s">
        <v>540</v>
      </c>
      <c r="B421" t="s">
        <v>28</v>
      </c>
      <c r="C421">
        <v>32</v>
      </c>
      <c r="D421" t="s">
        <v>29</v>
      </c>
      <c r="E421" t="s">
        <v>122</v>
      </c>
      <c r="F421" t="s">
        <v>56</v>
      </c>
      <c r="G421">
        <v>37878</v>
      </c>
      <c r="H421" s="1">
        <v>43735</v>
      </c>
      <c r="I421" t="s">
        <v>47</v>
      </c>
      <c r="J421" t="s">
        <v>48</v>
      </c>
      <c r="K421" t="s">
        <v>34</v>
      </c>
      <c r="L421">
        <v>3</v>
      </c>
      <c r="M421">
        <v>1</v>
      </c>
      <c r="N421">
        <v>1</v>
      </c>
      <c r="O421" t="s">
        <v>59</v>
      </c>
      <c r="P421" t="s">
        <v>36</v>
      </c>
      <c r="Q421">
        <v>156</v>
      </c>
      <c r="R421">
        <v>34</v>
      </c>
      <c r="S421">
        <v>29</v>
      </c>
      <c r="T421" t="s">
        <v>36</v>
      </c>
      <c r="U421" t="s">
        <v>36</v>
      </c>
      <c r="V421" t="s">
        <v>36</v>
      </c>
      <c r="W421" t="s">
        <v>60</v>
      </c>
      <c r="X421">
        <v>2019</v>
      </c>
      <c r="Y421" t="s">
        <v>51</v>
      </c>
      <c r="Z421" t="s">
        <v>40</v>
      </c>
      <c r="AA421" t="s">
        <v>63</v>
      </c>
    </row>
    <row r="422" spans="1:27" x14ac:dyDescent="0.3">
      <c r="A422" t="s">
        <v>541</v>
      </c>
      <c r="B422" t="s">
        <v>43</v>
      </c>
      <c r="C422">
        <v>46</v>
      </c>
      <c r="D422" t="s">
        <v>77</v>
      </c>
      <c r="E422" t="s">
        <v>133</v>
      </c>
      <c r="F422" t="s">
        <v>96</v>
      </c>
      <c r="G422">
        <v>103274</v>
      </c>
      <c r="H422" s="1">
        <v>46132</v>
      </c>
      <c r="I422" t="s">
        <v>57</v>
      </c>
      <c r="J422" t="s">
        <v>48</v>
      </c>
      <c r="K422" t="s">
        <v>34</v>
      </c>
      <c r="L422">
        <v>13</v>
      </c>
      <c r="M422">
        <v>1</v>
      </c>
      <c r="N422">
        <v>4</v>
      </c>
      <c r="O422" t="s">
        <v>68</v>
      </c>
      <c r="P422" t="s">
        <v>36</v>
      </c>
      <c r="Q422">
        <v>192</v>
      </c>
      <c r="R422">
        <v>78</v>
      </c>
      <c r="S422">
        <v>6</v>
      </c>
      <c r="T422" t="s">
        <v>36</v>
      </c>
      <c r="U422" t="s">
        <v>36</v>
      </c>
      <c r="V422" t="s">
        <v>37</v>
      </c>
      <c r="W422" t="s">
        <v>38</v>
      </c>
      <c r="X422">
        <v>2026</v>
      </c>
      <c r="Y422" t="s">
        <v>69</v>
      </c>
      <c r="Z422" t="s">
        <v>70</v>
      </c>
      <c r="AA422" t="s">
        <v>87</v>
      </c>
    </row>
    <row r="423" spans="1:27" x14ac:dyDescent="0.3">
      <c r="A423" t="s">
        <v>542</v>
      </c>
      <c r="B423" t="s">
        <v>43</v>
      </c>
      <c r="C423">
        <v>44</v>
      </c>
      <c r="D423" t="s">
        <v>65</v>
      </c>
      <c r="E423" t="s">
        <v>72</v>
      </c>
      <c r="F423" t="s">
        <v>96</v>
      </c>
      <c r="G423">
        <v>148277</v>
      </c>
      <c r="H423" s="1">
        <v>44461</v>
      </c>
      <c r="I423" t="s">
        <v>98</v>
      </c>
      <c r="J423" t="s">
        <v>91</v>
      </c>
      <c r="K423" t="s">
        <v>49</v>
      </c>
      <c r="L423">
        <v>10</v>
      </c>
      <c r="M423">
        <v>2</v>
      </c>
      <c r="N423">
        <v>1</v>
      </c>
      <c r="O423" t="s">
        <v>68</v>
      </c>
      <c r="P423" t="s">
        <v>37</v>
      </c>
      <c r="Q423">
        <v>166</v>
      </c>
      <c r="R423">
        <v>23</v>
      </c>
      <c r="S423">
        <v>17</v>
      </c>
      <c r="T423" t="s">
        <v>36</v>
      </c>
      <c r="U423" t="s">
        <v>36</v>
      </c>
      <c r="V423" t="s">
        <v>36</v>
      </c>
      <c r="W423" t="s">
        <v>60</v>
      </c>
      <c r="X423">
        <v>2021</v>
      </c>
      <c r="Y423" t="s">
        <v>51</v>
      </c>
      <c r="Z423" t="s">
        <v>70</v>
      </c>
      <c r="AA423" t="s">
        <v>105</v>
      </c>
    </row>
    <row r="424" spans="1:27" x14ac:dyDescent="0.3">
      <c r="A424" t="s">
        <v>543</v>
      </c>
      <c r="B424" t="s">
        <v>43</v>
      </c>
      <c r="C424">
        <v>30</v>
      </c>
      <c r="D424" t="s">
        <v>65</v>
      </c>
      <c r="E424" t="s">
        <v>120</v>
      </c>
      <c r="F424" t="s">
        <v>31</v>
      </c>
      <c r="G424">
        <v>43878</v>
      </c>
      <c r="H424" s="1">
        <v>45543</v>
      </c>
      <c r="I424" t="s">
        <v>32</v>
      </c>
      <c r="J424" t="s">
        <v>48</v>
      </c>
      <c r="K424" t="s">
        <v>49</v>
      </c>
      <c r="L424">
        <v>3</v>
      </c>
      <c r="M424">
        <v>5</v>
      </c>
      <c r="N424">
        <v>1</v>
      </c>
      <c r="O424" t="s">
        <v>68</v>
      </c>
      <c r="P424" t="s">
        <v>36</v>
      </c>
      <c r="Q424">
        <v>194</v>
      </c>
      <c r="R424">
        <v>65</v>
      </c>
      <c r="S424">
        <v>24</v>
      </c>
      <c r="T424" t="s">
        <v>36</v>
      </c>
      <c r="U424" t="s">
        <v>36</v>
      </c>
      <c r="V424" t="s">
        <v>36</v>
      </c>
      <c r="W424" t="s">
        <v>126</v>
      </c>
      <c r="X424">
        <v>2024</v>
      </c>
      <c r="Y424" t="s">
        <v>51</v>
      </c>
      <c r="Z424" t="s">
        <v>75</v>
      </c>
      <c r="AA424" t="s">
        <v>41</v>
      </c>
    </row>
    <row r="425" spans="1:27" x14ac:dyDescent="0.3">
      <c r="A425" t="s">
        <v>544</v>
      </c>
      <c r="B425" t="s">
        <v>43</v>
      </c>
      <c r="C425">
        <v>38</v>
      </c>
      <c r="D425" t="s">
        <v>65</v>
      </c>
      <c r="E425" t="s">
        <v>66</v>
      </c>
      <c r="F425" t="s">
        <v>96</v>
      </c>
      <c r="G425">
        <v>133072</v>
      </c>
      <c r="H425" s="1">
        <v>43895</v>
      </c>
      <c r="I425" t="s">
        <v>32</v>
      </c>
      <c r="J425" t="s">
        <v>101</v>
      </c>
      <c r="K425" t="s">
        <v>34</v>
      </c>
      <c r="L425">
        <v>10</v>
      </c>
      <c r="M425">
        <v>4</v>
      </c>
      <c r="N425">
        <v>1</v>
      </c>
      <c r="O425" t="s">
        <v>68</v>
      </c>
      <c r="P425" t="s">
        <v>36</v>
      </c>
      <c r="Q425">
        <v>178</v>
      </c>
      <c r="R425">
        <v>35</v>
      </c>
      <c r="S425">
        <v>17</v>
      </c>
      <c r="T425" t="s">
        <v>36</v>
      </c>
      <c r="U425" t="s">
        <v>37</v>
      </c>
      <c r="V425" t="s">
        <v>36</v>
      </c>
      <c r="W425" t="s">
        <v>60</v>
      </c>
      <c r="X425">
        <v>2020</v>
      </c>
      <c r="Y425" t="s">
        <v>142</v>
      </c>
      <c r="Z425" t="s">
        <v>62</v>
      </c>
      <c r="AA425" t="s">
        <v>105</v>
      </c>
    </row>
    <row r="426" spans="1:27" x14ac:dyDescent="0.3">
      <c r="A426" t="s">
        <v>545</v>
      </c>
      <c r="B426" t="s">
        <v>43</v>
      </c>
      <c r="C426">
        <v>36</v>
      </c>
      <c r="D426" t="s">
        <v>44</v>
      </c>
      <c r="E426" t="s">
        <v>45</v>
      </c>
      <c r="F426" t="s">
        <v>31</v>
      </c>
      <c r="G426">
        <v>69069</v>
      </c>
      <c r="H426" s="1">
        <v>44952</v>
      </c>
      <c r="I426" t="s">
        <v>47</v>
      </c>
      <c r="J426" t="s">
        <v>33</v>
      </c>
      <c r="K426" t="s">
        <v>34</v>
      </c>
      <c r="L426">
        <v>2</v>
      </c>
      <c r="M426">
        <v>1</v>
      </c>
      <c r="N426">
        <v>1</v>
      </c>
      <c r="O426" t="s">
        <v>50</v>
      </c>
      <c r="P426" t="s">
        <v>36</v>
      </c>
      <c r="Q426">
        <v>153</v>
      </c>
      <c r="R426">
        <v>10</v>
      </c>
      <c r="S426">
        <v>2</v>
      </c>
      <c r="T426" t="s">
        <v>37</v>
      </c>
      <c r="U426" t="s">
        <v>37</v>
      </c>
      <c r="V426" t="s">
        <v>37</v>
      </c>
      <c r="W426" t="s">
        <v>38</v>
      </c>
      <c r="X426">
        <v>2023</v>
      </c>
      <c r="Y426" t="s">
        <v>94</v>
      </c>
      <c r="Z426" t="s">
        <v>62</v>
      </c>
      <c r="AA426" t="s">
        <v>52</v>
      </c>
    </row>
    <row r="427" spans="1:27" x14ac:dyDescent="0.3">
      <c r="A427" t="s">
        <v>546</v>
      </c>
      <c r="B427" t="s">
        <v>28</v>
      </c>
      <c r="C427">
        <v>41</v>
      </c>
      <c r="D427" t="s">
        <v>81</v>
      </c>
      <c r="E427" t="s">
        <v>113</v>
      </c>
      <c r="F427" t="s">
        <v>31</v>
      </c>
      <c r="G427">
        <v>50585</v>
      </c>
      <c r="H427" s="1">
        <v>44179</v>
      </c>
      <c r="I427" t="s">
        <v>107</v>
      </c>
      <c r="J427" t="s">
        <v>48</v>
      </c>
      <c r="K427" t="s">
        <v>58</v>
      </c>
      <c r="L427">
        <v>7</v>
      </c>
      <c r="M427">
        <v>3</v>
      </c>
      <c r="N427">
        <v>5</v>
      </c>
      <c r="O427" t="s">
        <v>68</v>
      </c>
      <c r="P427" t="s">
        <v>37</v>
      </c>
      <c r="Q427">
        <v>172</v>
      </c>
      <c r="R427">
        <v>53</v>
      </c>
      <c r="S427">
        <v>22</v>
      </c>
      <c r="T427" t="s">
        <v>37</v>
      </c>
      <c r="U427" t="s">
        <v>36</v>
      </c>
      <c r="V427" t="s">
        <v>37</v>
      </c>
      <c r="W427" t="s">
        <v>38</v>
      </c>
      <c r="X427">
        <v>2020</v>
      </c>
      <c r="Y427" t="s">
        <v>116</v>
      </c>
      <c r="Z427" t="s">
        <v>70</v>
      </c>
      <c r="AA427" t="s">
        <v>41</v>
      </c>
    </row>
    <row r="428" spans="1:27" x14ac:dyDescent="0.3">
      <c r="A428" t="s">
        <v>547</v>
      </c>
      <c r="B428" t="s">
        <v>43</v>
      </c>
      <c r="C428">
        <v>25</v>
      </c>
      <c r="D428" t="s">
        <v>44</v>
      </c>
      <c r="E428" t="s">
        <v>109</v>
      </c>
      <c r="F428" t="s">
        <v>96</v>
      </c>
      <c r="G428">
        <v>121476</v>
      </c>
      <c r="H428" s="1">
        <v>44991</v>
      </c>
      <c r="I428" t="s">
        <v>32</v>
      </c>
      <c r="J428" t="s">
        <v>33</v>
      </c>
      <c r="K428" t="s">
        <v>58</v>
      </c>
      <c r="L428">
        <v>13</v>
      </c>
      <c r="M428">
        <v>2</v>
      </c>
      <c r="N428">
        <v>5</v>
      </c>
      <c r="O428" t="s">
        <v>59</v>
      </c>
      <c r="P428" t="s">
        <v>36</v>
      </c>
      <c r="Q428">
        <v>205</v>
      </c>
      <c r="R428">
        <v>52</v>
      </c>
      <c r="S428">
        <v>12</v>
      </c>
      <c r="T428" t="s">
        <v>36</v>
      </c>
      <c r="U428" t="s">
        <v>37</v>
      </c>
      <c r="V428" t="s">
        <v>37</v>
      </c>
      <c r="W428" t="s">
        <v>38</v>
      </c>
      <c r="X428">
        <v>2023</v>
      </c>
      <c r="Y428" t="s">
        <v>142</v>
      </c>
      <c r="Z428" t="s">
        <v>104</v>
      </c>
      <c r="AA428" t="s">
        <v>87</v>
      </c>
    </row>
    <row r="429" spans="1:27" x14ac:dyDescent="0.3">
      <c r="A429" t="s">
        <v>548</v>
      </c>
      <c r="B429" t="s">
        <v>43</v>
      </c>
      <c r="C429">
        <v>36</v>
      </c>
      <c r="D429" t="s">
        <v>44</v>
      </c>
      <c r="E429" t="s">
        <v>219</v>
      </c>
      <c r="F429" t="s">
        <v>31</v>
      </c>
      <c r="G429">
        <v>69998</v>
      </c>
      <c r="H429" s="1">
        <v>44670</v>
      </c>
      <c r="I429" t="s">
        <v>98</v>
      </c>
      <c r="J429" t="s">
        <v>101</v>
      </c>
      <c r="K429" t="s">
        <v>58</v>
      </c>
      <c r="L429">
        <v>6</v>
      </c>
      <c r="M429">
        <v>2</v>
      </c>
      <c r="N429">
        <v>3</v>
      </c>
      <c r="O429" t="s">
        <v>35</v>
      </c>
      <c r="P429" t="s">
        <v>37</v>
      </c>
      <c r="Q429">
        <v>156</v>
      </c>
      <c r="R429">
        <v>65</v>
      </c>
      <c r="S429">
        <v>27</v>
      </c>
      <c r="T429" t="s">
        <v>36</v>
      </c>
      <c r="U429" t="s">
        <v>36</v>
      </c>
      <c r="V429" t="s">
        <v>36</v>
      </c>
      <c r="W429" t="s">
        <v>60</v>
      </c>
      <c r="X429">
        <v>2022</v>
      </c>
      <c r="Y429" t="s">
        <v>69</v>
      </c>
      <c r="Z429" t="s">
        <v>62</v>
      </c>
      <c r="AA429" t="s">
        <v>52</v>
      </c>
    </row>
    <row r="430" spans="1:27" x14ac:dyDescent="0.3">
      <c r="A430" t="s">
        <v>549</v>
      </c>
      <c r="B430" t="s">
        <v>28</v>
      </c>
      <c r="C430">
        <v>39</v>
      </c>
      <c r="D430" t="s">
        <v>77</v>
      </c>
      <c r="E430" t="s">
        <v>78</v>
      </c>
      <c r="F430" t="s">
        <v>96</v>
      </c>
      <c r="G430">
        <v>158012</v>
      </c>
      <c r="H430" s="1">
        <v>44199</v>
      </c>
      <c r="I430" t="s">
        <v>47</v>
      </c>
      <c r="J430" t="s">
        <v>101</v>
      </c>
      <c r="K430" t="s">
        <v>49</v>
      </c>
      <c r="L430">
        <v>15</v>
      </c>
      <c r="M430">
        <v>3</v>
      </c>
      <c r="N430">
        <v>3</v>
      </c>
      <c r="O430" t="s">
        <v>59</v>
      </c>
      <c r="P430" t="s">
        <v>36</v>
      </c>
      <c r="Q430">
        <v>238</v>
      </c>
      <c r="R430">
        <v>79</v>
      </c>
      <c r="S430">
        <v>22</v>
      </c>
      <c r="T430" t="s">
        <v>37</v>
      </c>
      <c r="U430" t="s">
        <v>36</v>
      </c>
      <c r="V430" t="s">
        <v>36</v>
      </c>
      <c r="W430" t="s">
        <v>60</v>
      </c>
      <c r="X430">
        <v>2021</v>
      </c>
      <c r="Y430" t="s">
        <v>94</v>
      </c>
      <c r="Z430" t="s">
        <v>62</v>
      </c>
      <c r="AA430" t="s">
        <v>105</v>
      </c>
    </row>
    <row r="431" spans="1:27" x14ac:dyDescent="0.3">
      <c r="A431" t="s">
        <v>550</v>
      </c>
      <c r="B431" t="s">
        <v>28</v>
      </c>
      <c r="C431">
        <v>21</v>
      </c>
      <c r="D431" t="s">
        <v>44</v>
      </c>
      <c r="E431" t="s">
        <v>45</v>
      </c>
      <c r="F431" t="s">
        <v>31</v>
      </c>
      <c r="G431">
        <v>54972</v>
      </c>
      <c r="H431" s="1">
        <v>44719</v>
      </c>
      <c r="I431" t="s">
        <v>57</v>
      </c>
      <c r="J431" t="s">
        <v>73</v>
      </c>
      <c r="K431" t="s">
        <v>58</v>
      </c>
      <c r="L431">
        <v>3</v>
      </c>
      <c r="M431">
        <v>4</v>
      </c>
      <c r="N431">
        <v>4</v>
      </c>
      <c r="O431" t="s">
        <v>50</v>
      </c>
      <c r="P431" t="s">
        <v>36</v>
      </c>
      <c r="Q431">
        <v>170</v>
      </c>
      <c r="R431">
        <v>61</v>
      </c>
      <c r="S431">
        <v>18</v>
      </c>
      <c r="T431" t="s">
        <v>36</v>
      </c>
      <c r="U431" t="s">
        <v>36</v>
      </c>
      <c r="V431" t="s">
        <v>36</v>
      </c>
      <c r="W431" t="s">
        <v>60</v>
      </c>
      <c r="X431">
        <v>2022</v>
      </c>
      <c r="Y431" t="s">
        <v>61</v>
      </c>
      <c r="Z431" t="s">
        <v>104</v>
      </c>
      <c r="AA431" t="s">
        <v>41</v>
      </c>
    </row>
    <row r="432" spans="1:27" x14ac:dyDescent="0.3">
      <c r="A432" t="s">
        <v>551</v>
      </c>
      <c r="B432" t="s">
        <v>28</v>
      </c>
      <c r="C432">
        <v>23</v>
      </c>
      <c r="D432" t="s">
        <v>89</v>
      </c>
      <c r="E432" t="s">
        <v>144</v>
      </c>
      <c r="F432" t="s">
        <v>96</v>
      </c>
      <c r="G432">
        <v>149133</v>
      </c>
      <c r="H432" s="1">
        <v>45237</v>
      </c>
      <c r="I432" t="s">
        <v>32</v>
      </c>
      <c r="J432" t="s">
        <v>101</v>
      </c>
      <c r="K432" t="s">
        <v>58</v>
      </c>
      <c r="L432">
        <v>15</v>
      </c>
      <c r="M432">
        <v>4</v>
      </c>
      <c r="N432">
        <v>3</v>
      </c>
      <c r="O432" t="s">
        <v>50</v>
      </c>
      <c r="P432" t="s">
        <v>36</v>
      </c>
      <c r="Q432">
        <v>190</v>
      </c>
      <c r="R432">
        <v>14</v>
      </c>
      <c r="S432">
        <v>13</v>
      </c>
      <c r="T432" t="s">
        <v>37</v>
      </c>
      <c r="U432" t="s">
        <v>36</v>
      </c>
      <c r="V432" t="s">
        <v>36</v>
      </c>
      <c r="W432" t="s">
        <v>60</v>
      </c>
      <c r="X432">
        <v>2023</v>
      </c>
      <c r="Y432" t="s">
        <v>123</v>
      </c>
      <c r="Z432" t="s">
        <v>104</v>
      </c>
      <c r="AA432" t="s">
        <v>105</v>
      </c>
    </row>
    <row r="433" spans="1:27" x14ac:dyDescent="0.3">
      <c r="A433" t="s">
        <v>552</v>
      </c>
      <c r="B433" t="s">
        <v>28</v>
      </c>
      <c r="C433">
        <v>21</v>
      </c>
      <c r="D433" t="s">
        <v>81</v>
      </c>
      <c r="E433" t="s">
        <v>113</v>
      </c>
      <c r="F433" t="s">
        <v>56</v>
      </c>
      <c r="G433">
        <v>31885</v>
      </c>
      <c r="H433" s="1">
        <v>44941</v>
      </c>
      <c r="I433" t="s">
        <v>107</v>
      </c>
      <c r="J433" t="s">
        <v>67</v>
      </c>
      <c r="K433" t="s">
        <v>34</v>
      </c>
      <c r="L433">
        <v>0</v>
      </c>
      <c r="M433">
        <v>1</v>
      </c>
      <c r="N433">
        <v>5</v>
      </c>
      <c r="O433" t="s">
        <v>50</v>
      </c>
      <c r="P433" t="s">
        <v>37</v>
      </c>
      <c r="Q433">
        <v>192</v>
      </c>
      <c r="R433">
        <v>29</v>
      </c>
      <c r="S433">
        <v>24</v>
      </c>
      <c r="T433" t="s">
        <v>36</v>
      </c>
      <c r="U433" t="s">
        <v>36</v>
      </c>
      <c r="V433" t="s">
        <v>36</v>
      </c>
      <c r="W433" t="s">
        <v>60</v>
      </c>
      <c r="X433">
        <v>2023</v>
      </c>
      <c r="Y433" t="s">
        <v>94</v>
      </c>
      <c r="Z433" t="s">
        <v>104</v>
      </c>
      <c r="AA433" t="s">
        <v>63</v>
      </c>
    </row>
    <row r="434" spans="1:27" x14ac:dyDescent="0.3">
      <c r="A434" t="s">
        <v>553</v>
      </c>
      <c r="B434" t="s">
        <v>43</v>
      </c>
      <c r="C434">
        <v>30</v>
      </c>
      <c r="D434" t="s">
        <v>29</v>
      </c>
      <c r="E434" t="s">
        <v>30</v>
      </c>
      <c r="F434" t="s">
        <v>46</v>
      </c>
      <c r="G434">
        <v>87716</v>
      </c>
      <c r="H434" s="1">
        <v>45127</v>
      </c>
      <c r="I434" t="s">
        <v>32</v>
      </c>
      <c r="J434" t="s">
        <v>33</v>
      </c>
      <c r="K434" t="s">
        <v>34</v>
      </c>
      <c r="L434">
        <v>11</v>
      </c>
      <c r="M434">
        <v>5</v>
      </c>
      <c r="N434">
        <v>1</v>
      </c>
      <c r="O434" t="s">
        <v>68</v>
      </c>
      <c r="P434" t="s">
        <v>36</v>
      </c>
      <c r="Q434">
        <v>233</v>
      </c>
      <c r="R434">
        <v>65</v>
      </c>
      <c r="S434">
        <v>9</v>
      </c>
      <c r="T434" t="s">
        <v>36</v>
      </c>
      <c r="U434" t="s">
        <v>36</v>
      </c>
      <c r="V434" t="s">
        <v>36</v>
      </c>
      <c r="W434" t="s">
        <v>126</v>
      </c>
      <c r="X434">
        <v>2023</v>
      </c>
      <c r="Y434" t="s">
        <v>79</v>
      </c>
      <c r="Z434" t="s">
        <v>75</v>
      </c>
      <c r="AA434" t="s">
        <v>52</v>
      </c>
    </row>
    <row r="435" spans="1:27" x14ac:dyDescent="0.3">
      <c r="A435" t="s">
        <v>554</v>
      </c>
      <c r="B435" t="s">
        <v>43</v>
      </c>
      <c r="C435">
        <v>37</v>
      </c>
      <c r="D435" t="s">
        <v>65</v>
      </c>
      <c r="E435" t="s">
        <v>120</v>
      </c>
      <c r="F435" t="s">
        <v>46</v>
      </c>
      <c r="G435">
        <v>77310</v>
      </c>
      <c r="H435" s="1">
        <v>45176</v>
      </c>
      <c r="I435" t="s">
        <v>98</v>
      </c>
      <c r="J435" t="s">
        <v>73</v>
      </c>
      <c r="K435" t="s">
        <v>49</v>
      </c>
      <c r="L435">
        <v>11</v>
      </c>
      <c r="M435">
        <v>2</v>
      </c>
      <c r="N435">
        <v>4</v>
      </c>
      <c r="O435" t="s">
        <v>35</v>
      </c>
      <c r="P435" t="s">
        <v>36</v>
      </c>
      <c r="Q435">
        <v>259</v>
      </c>
      <c r="R435">
        <v>68</v>
      </c>
      <c r="S435">
        <v>27</v>
      </c>
      <c r="T435" t="s">
        <v>36</v>
      </c>
      <c r="U435" t="s">
        <v>37</v>
      </c>
      <c r="V435" t="s">
        <v>36</v>
      </c>
      <c r="W435" t="s">
        <v>60</v>
      </c>
      <c r="X435">
        <v>2023</v>
      </c>
      <c r="Y435" t="s">
        <v>51</v>
      </c>
      <c r="Z435" t="s">
        <v>62</v>
      </c>
      <c r="AA435" t="s">
        <v>52</v>
      </c>
    </row>
    <row r="436" spans="1:27" x14ac:dyDescent="0.3">
      <c r="A436" t="s">
        <v>555</v>
      </c>
      <c r="B436" t="s">
        <v>43</v>
      </c>
      <c r="C436">
        <v>42</v>
      </c>
      <c r="D436" t="s">
        <v>44</v>
      </c>
      <c r="E436" t="s">
        <v>45</v>
      </c>
      <c r="F436" t="s">
        <v>96</v>
      </c>
      <c r="G436">
        <v>142870</v>
      </c>
      <c r="H436" s="1">
        <v>45668</v>
      </c>
      <c r="I436" t="s">
        <v>32</v>
      </c>
      <c r="J436" t="s">
        <v>91</v>
      </c>
      <c r="K436" t="s">
        <v>34</v>
      </c>
      <c r="L436">
        <v>20</v>
      </c>
      <c r="M436">
        <v>3</v>
      </c>
      <c r="N436">
        <v>3</v>
      </c>
      <c r="O436" t="s">
        <v>59</v>
      </c>
      <c r="P436" t="s">
        <v>36</v>
      </c>
      <c r="Q436">
        <v>152</v>
      </c>
      <c r="R436">
        <v>53</v>
      </c>
      <c r="S436">
        <v>8</v>
      </c>
      <c r="T436" t="s">
        <v>36</v>
      </c>
      <c r="U436" t="s">
        <v>37</v>
      </c>
      <c r="V436" t="s">
        <v>36</v>
      </c>
      <c r="W436" t="s">
        <v>60</v>
      </c>
      <c r="X436">
        <v>2025</v>
      </c>
      <c r="Y436" t="s">
        <v>94</v>
      </c>
      <c r="Z436" t="s">
        <v>70</v>
      </c>
      <c r="AA436" t="s">
        <v>105</v>
      </c>
    </row>
    <row r="437" spans="1:27" x14ac:dyDescent="0.3">
      <c r="A437" t="s">
        <v>556</v>
      </c>
      <c r="B437" t="s">
        <v>43</v>
      </c>
      <c r="C437">
        <v>32</v>
      </c>
      <c r="D437" t="s">
        <v>44</v>
      </c>
      <c r="E437" t="s">
        <v>45</v>
      </c>
      <c r="F437" t="s">
        <v>56</v>
      </c>
      <c r="G437">
        <v>38775</v>
      </c>
      <c r="H437" s="1">
        <v>46083</v>
      </c>
      <c r="I437" t="s">
        <v>98</v>
      </c>
      <c r="J437" t="s">
        <v>101</v>
      </c>
      <c r="K437" t="s">
        <v>58</v>
      </c>
      <c r="L437">
        <v>3</v>
      </c>
      <c r="M437">
        <v>3</v>
      </c>
      <c r="N437">
        <v>1</v>
      </c>
      <c r="O437" t="s">
        <v>68</v>
      </c>
      <c r="P437" t="s">
        <v>37</v>
      </c>
      <c r="Q437">
        <v>163</v>
      </c>
      <c r="R437">
        <v>30</v>
      </c>
      <c r="S437">
        <v>4</v>
      </c>
      <c r="T437" t="s">
        <v>36</v>
      </c>
      <c r="U437" t="s">
        <v>36</v>
      </c>
      <c r="V437" t="s">
        <v>37</v>
      </c>
      <c r="W437" t="s">
        <v>38</v>
      </c>
      <c r="X437">
        <v>2026</v>
      </c>
      <c r="Y437" t="s">
        <v>142</v>
      </c>
      <c r="Z437" t="s">
        <v>40</v>
      </c>
      <c r="AA437" t="s">
        <v>63</v>
      </c>
    </row>
    <row r="438" spans="1:27" x14ac:dyDescent="0.3">
      <c r="A438" t="s">
        <v>557</v>
      </c>
      <c r="B438" t="s">
        <v>43</v>
      </c>
      <c r="C438">
        <v>43</v>
      </c>
      <c r="D438" t="s">
        <v>44</v>
      </c>
      <c r="E438" t="s">
        <v>115</v>
      </c>
      <c r="F438" t="s">
        <v>46</v>
      </c>
      <c r="G438">
        <v>108225</v>
      </c>
      <c r="H438" s="1">
        <v>43752</v>
      </c>
      <c r="I438" t="s">
        <v>47</v>
      </c>
      <c r="J438" t="s">
        <v>118</v>
      </c>
      <c r="K438" t="s">
        <v>58</v>
      </c>
      <c r="L438">
        <v>13</v>
      </c>
      <c r="M438">
        <v>4</v>
      </c>
      <c r="N438">
        <v>1</v>
      </c>
      <c r="O438" t="s">
        <v>35</v>
      </c>
      <c r="P438" t="s">
        <v>36</v>
      </c>
      <c r="Q438">
        <v>216</v>
      </c>
      <c r="R438">
        <v>21</v>
      </c>
      <c r="S438">
        <v>19</v>
      </c>
      <c r="T438" t="s">
        <v>36</v>
      </c>
      <c r="U438" t="s">
        <v>37</v>
      </c>
      <c r="V438" t="s">
        <v>36</v>
      </c>
      <c r="W438" t="s">
        <v>126</v>
      </c>
      <c r="X438">
        <v>2019</v>
      </c>
      <c r="Y438" t="s">
        <v>83</v>
      </c>
      <c r="Z438" t="s">
        <v>70</v>
      </c>
      <c r="AA438" t="s">
        <v>87</v>
      </c>
    </row>
    <row r="439" spans="1:27" x14ac:dyDescent="0.3">
      <c r="A439" t="s">
        <v>558</v>
      </c>
      <c r="B439" t="s">
        <v>28</v>
      </c>
      <c r="C439">
        <v>22</v>
      </c>
      <c r="D439" t="s">
        <v>77</v>
      </c>
      <c r="E439" t="s">
        <v>138</v>
      </c>
      <c r="F439" t="s">
        <v>31</v>
      </c>
      <c r="G439">
        <v>48739</v>
      </c>
      <c r="H439" s="1">
        <v>45236</v>
      </c>
      <c r="I439" t="s">
        <v>98</v>
      </c>
      <c r="J439" t="s">
        <v>101</v>
      </c>
      <c r="K439" t="s">
        <v>49</v>
      </c>
      <c r="L439">
        <v>4</v>
      </c>
      <c r="M439">
        <v>4</v>
      </c>
      <c r="N439">
        <v>2</v>
      </c>
      <c r="O439" t="s">
        <v>68</v>
      </c>
      <c r="P439" t="s">
        <v>36</v>
      </c>
      <c r="Q439">
        <v>223</v>
      </c>
      <c r="R439">
        <v>5</v>
      </c>
      <c r="S439">
        <v>6</v>
      </c>
      <c r="T439" t="s">
        <v>36</v>
      </c>
      <c r="U439" t="s">
        <v>36</v>
      </c>
      <c r="V439" t="s">
        <v>36</v>
      </c>
      <c r="W439" t="s">
        <v>60</v>
      </c>
      <c r="X439">
        <v>2023</v>
      </c>
      <c r="Y439" t="s">
        <v>123</v>
      </c>
      <c r="Z439" t="s">
        <v>104</v>
      </c>
      <c r="AA439" t="s">
        <v>41</v>
      </c>
    </row>
    <row r="440" spans="1:27" x14ac:dyDescent="0.3">
      <c r="A440" t="s">
        <v>559</v>
      </c>
      <c r="B440" t="s">
        <v>43</v>
      </c>
      <c r="C440">
        <v>21</v>
      </c>
      <c r="D440" t="s">
        <v>44</v>
      </c>
      <c r="E440" t="s">
        <v>109</v>
      </c>
      <c r="F440" t="s">
        <v>96</v>
      </c>
      <c r="G440">
        <v>150319</v>
      </c>
      <c r="H440" s="1">
        <v>45825</v>
      </c>
      <c r="I440" t="s">
        <v>107</v>
      </c>
      <c r="J440" t="s">
        <v>118</v>
      </c>
      <c r="K440" t="s">
        <v>34</v>
      </c>
      <c r="L440">
        <v>15</v>
      </c>
      <c r="M440">
        <v>1</v>
      </c>
      <c r="N440">
        <v>1</v>
      </c>
      <c r="O440" t="s">
        <v>68</v>
      </c>
      <c r="P440" t="s">
        <v>36</v>
      </c>
      <c r="Q440">
        <v>232</v>
      </c>
      <c r="R440">
        <v>58</v>
      </c>
      <c r="S440">
        <v>9</v>
      </c>
      <c r="T440" t="s">
        <v>37</v>
      </c>
      <c r="U440" t="s">
        <v>36</v>
      </c>
      <c r="V440" t="s">
        <v>36</v>
      </c>
      <c r="W440" t="s">
        <v>126</v>
      </c>
      <c r="X440">
        <v>2025</v>
      </c>
      <c r="Y440" t="s">
        <v>61</v>
      </c>
      <c r="Z440" t="s">
        <v>104</v>
      </c>
      <c r="AA440" t="s">
        <v>105</v>
      </c>
    </row>
    <row r="441" spans="1:27" x14ac:dyDescent="0.3">
      <c r="A441" t="s">
        <v>560</v>
      </c>
      <c r="B441" t="s">
        <v>43</v>
      </c>
      <c r="C441">
        <v>31</v>
      </c>
      <c r="D441" t="s">
        <v>77</v>
      </c>
      <c r="E441" t="s">
        <v>138</v>
      </c>
      <c r="F441" t="s">
        <v>56</v>
      </c>
      <c r="G441">
        <v>40895</v>
      </c>
      <c r="H441" s="1">
        <v>44447</v>
      </c>
      <c r="I441" t="s">
        <v>57</v>
      </c>
      <c r="J441" t="s">
        <v>33</v>
      </c>
      <c r="K441" t="s">
        <v>49</v>
      </c>
      <c r="L441">
        <v>0</v>
      </c>
      <c r="M441">
        <v>2</v>
      </c>
      <c r="N441">
        <v>3</v>
      </c>
      <c r="O441" t="s">
        <v>59</v>
      </c>
      <c r="P441" t="s">
        <v>36</v>
      </c>
      <c r="Q441">
        <v>218</v>
      </c>
      <c r="R441">
        <v>75</v>
      </c>
      <c r="S441">
        <v>5</v>
      </c>
      <c r="T441" t="s">
        <v>36</v>
      </c>
      <c r="U441" t="s">
        <v>36</v>
      </c>
      <c r="V441" t="s">
        <v>36</v>
      </c>
      <c r="W441" t="s">
        <v>60</v>
      </c>
      <c r="X441">
        <v>2021</v>
      </c>
      <c r="Y441" t="s">
        <v>51</v>
      </c>
      <c r="Z441" t="s">
        <v>40</v>
      </c>
      <c r="AA441" t="s">
        <v>41</v>
      </c>
    </row>
    <row r="442" spans="1:27" x14ac:dyDescent="0.3">
      <c r="A442" t="s">
        <v>561</v>
      </c>
      <c r="B442" t="s">
        <v>28</v>
      </c>
      <c r="C442">
        <v>34</v>
      </c>
      <c r="D442" t="s">
        <v>65</v>
      </c>
      <c r="E442" t="s">
        <v>72</v>
      </c>
      <c r="F442" t="s">
        <v>96</v>
      </c>
      <c r="G442">
        <v>111605</v>
      </c>
      <c r="H442" s="1">
        <v>44315</v>
      </c>
      <c r="I442" t="s">
        <v>47</v>
      </c>
      <c r="J442" t="s">
        <v>118</v>
      </c>
      <c r="K442" t="s">
        <v>49</v>
      </c>
      <c r="L442">
        <v>12</v>
      </c>
      <c r="M442">
        <v>5</v>
      </c>
      <c r="N442">
        <v>1</v>
      </c>
      <c r="O442" t="s">
        <v>59</v>
      </c>
      <c r="P442" t="s">
        <v>36</v>
      </c>
      <c r="Q442">
        <v>153</v>
      </c>
      <c r="R442">
        <v>29</v>
      </c>
      <c r="S442">
        <v>14</v>
      </c>
      <c r="T442" t="s">
        <v>37</v>
      </c>
      <c r="U442" t="s">
        <v>37</v>
      </c>
      <c r="V442" t="s">
        <v>36</v>
      </c>
      <c r="W442" t="s">
        <v>60</v>
      </c>
      <c r="X442">
        <v>2021</v>
      </c>
      <c r="Y442" t="s">
        <v>69</v>
      </c>
      <c r="Z442" t="s">
        <v>40</v>
      </c>
      <c r="AA442" t="s">
        <v>87</v>
      </c>
    </row>
    <row r="443" spans="1:27" x14ac:dyDescent="0.3">
      <c r="A443" t="s">
        <v>562</v>
      </c>
      <c r="B443" t="s">
        <v>43</v>
      </c>
      <c r="C443">
        <v>31</v>
      </c>
      <c r="D443" t="s">
        <v>54</v>
      </c>
      <c r="E443" t="s">
        <v>111</v>
      </c>
      <c r="F443" t="s">
        <v>46</v>
      </c>
      <c r="G443">
        <v>108928</v>
      </c>
      <c r="H443" s="1">
        <v>45451</v>
      </c>
      <c r="I443" t="s">
        <v>47</v>
      </c>
      <c r="J443" t="s">
        <v>73</v>
      </c>
      <c r="K443" t="s">
        <v>49</v>
      </c>
      <c r="L443">
        <v>12</v>
      </c>
      <c r="M443">
        <v>4</v>
      </c>
      <c r="N443">
        <v>1</v>
      </c>
      <c r="O443" t="s">
        <v>50</v>
      </c>
      <c r="P443" t="s">
        <v>37</v>
      </c>
      <c r="Q443">
        <v>220</v>
      </c>
      <c r="R443">
        <v>25</v>
      </c>
      <c r="S443">
        <v>7</v>
      </c>
      <c r="T443" t="s">
        <v>37</v>
      </c>
      <c r="U443" t="s">
        <v>36</v>
      </c>
      <c r="V443" t="s">
        <v>36</v>
      </c>
      <c r="W443" t="s">
        <v>60</v>
      </c>
      <c r="X443">
        <v>2024</v>
      </c>
      <c r="Y443" t="s">
        <v>61</v>
      </c>
      <c r="Z443" t="s">
        <v>40</v>
      </c>
      <c r="AA443" t="s">
        <v>87</v>
      </c>
    </row>
    <row r="444" spans="1:27" x14ac:dyDescent="0.3">
      <c r="A444" t="s">
        <v>563</v>
      </c>
      <c r="B444" t="s">
        <v>28</v>
      </c>
      <c r="C444">
        <v>21</v>
      </c>
      <c r="D444" t="s">
        <v>81</v>
      </c>
      <c r="E444" t="s">
        <v>201</v>
      </c>
      <c r="F444" t="s">
        <v>96</v>
      </c>
      <c r="G444">
        <v>112079</v>
      </c>
      <c r="H444" s="1">
        <v>46216</v>
      </c>
      <c r="I444" t="s">
        <v>57</v>
      </c>
      <c r="J444" t="s">
        <v>33</v>
      </c>
      <c r="K444" t="s">
        <v>49</v>
      </c>
      <c r="L444">
        <v>9</v>
      </c>
      <c r="M444">
        <v>1</v>
      </c>
      <c r="N444">
        <v>3</v>
      </c>
      <c r="O444" t="s">
        <v>35</v>
      </c>
      <c r="P444" t="s">
        <v>37</v>
      </c>
      <c r="Q444">
        <v>206</v>
      </c>
      <c r="R444">
        <v>71</v>
      </c>
      <c r="S444">
        <v>22</v>
      </c>
      <c r="T444" t="s">
        <v>36</v>
      </c>
      <c r="U444" t="s">
        <v>36</v>
      </c>
      <c r="V444" t="s">
        <v>37</v>
      </c>
      <c r="W444" t="s">
        <v>38</v>
      </c>
      <c r="X444">
        <v>2026</v>
      </c>
      <c r="Y444" t="s">
        <v>79</v>
      </c>
      <c r="Z444" t="s">
        <v>104</v>
      </c>
      <c r="AA444" t="s">
        <v>87</v>
      </c>
    </row>
    <row r="445" spans="1:27" x14ac:dyDescent="0.3">
      <c r="A445" t="s">
        <v>564</v>
      </c>
      <c r="B445" t="s">
        <v>28</v>
      </c>
      <c r="C445">
        <v>31</v>
      </c>
      <c r="D445" t="s">
        <v>77</v>
      </c>
      <c r="E445" t="s">
        <v>78</v>
      </c>
      <c r="F445" t="s">
        <v>96</v>
      </c>
      <c r="G445">
        <v>96870</v>
      </c>
      <c r="H445" s="1">
        <v>43485</v>
      </c>
      <c r="I445" t="s">
        <v>32</v>
      </c>
      <c r="J445" t="s">
        <v>48</v>
      </c>
      <c r="K445" t="s">
        <v>58</v>
      </c>
      <c r="L445">
        <v>17</v>
      </c>
      <c r="M445">
        <v>1</v>
      </c>
      <c r="N445">
        <v>4</v>
      </c>
      <c r="O445" t="s">
        <v>59</v>
      </c>
      <c r="P445" t="s">
        <v>37</v>
      </c>
      <c r="Q445">
        <v>181</v>
      </c>
      <c r="R445">
        <v>8</v>
      </c>
      <c r="S445">
        <v>2</v>
      </c>
      <c r="T445" t="s">
        <v>36</v>
      </c>
      <c r="U445" t="s">
        <v>36</v>
      </c>
      <c r="V445" t="s">
        <v>36</v>
      </c>
      <c r="W445" t="s">
        <v>60</v>
      </c>
      <c r="X445">
        <v>2019</v>
      </c>
      <c r="Y445" t="s">
        <v>94</v>
      </c>
      <c r="Z445" t="s">
        <v>40</v>
      </c>
      <c r="AA445" t="s">
        <v>87</v>
      </c>
    </row>
    <row r="446" spans="1:27" x14ac:dyDescent="0.3">
      <c r="A446" t="s">
        <v>565</v>
      </c>
      <c r="B446" t="s">
        <v>28</v>
      </c>
      <c r="C446">
        <v>22</v>
      </c>
      <c r="D446" t="s">
        <v>44</v>
      </c>
      <c r="E446" t="s">
        <v>219</v>
      </c>
      <c r="F446" t="s">
        <v>31</v>
      </c>
      <c r="G446">
        <v>65724</v>
      </c>
      <c r="H446" s="1">
        <v>43646</v>
      </c>
      <c r="I446" t="s">
        <v>32</v>
      </c>
      <c r="J446" t="s">
        <v>33</v>
      </c>
      <c r="K446" t="s">
        <v>34</v>
      </c>
      <c r="L446">
        <v>3</v>
      </c>
      <c r="M446">
        <v>4</v>
      </c>
      <c r="N446">
        <v>5</v>
      </c>
      <c r="O446" t="s">
        <v>59</v>
      </c>
      <c r="P446" t="s">
        <v>37</v>
      </c>
      <c r="Q446">
        <v>254</v>
      </c>
      <c r="R446">
        <v>59</v>
      </c>
      <c r="S446">
        <v>5</v>
      </c>
      <c r="T446" t="s">
        <v>37</v>
      </c>
      <c r="U446" t="s">
        <v>36</v>
      </c>
      <c r="V446" t="s">
        <v>36</v>
      </c>
      <c r="W446" t="s">
        <v>60</v>
      </c>
      <c r="X446">
        <v>2019</v>
      </c>
      <c r="Y446" t="s">
        <v>61</v>
      </c>
      <c r="Z446" t="s">
        <v>104</v>
      </c>
      <c r="AA446" t="s">
        <v>52</v>
      </c>
    </row>
    <row r="447" spans="1:27" x14ac:dyDescent="0.3">
      <c r="A447" t="s">
        <v>566</v>
      </c>
      <c r="B447" t="s">
        <v>28</v>
      </c>
      <c r="C447">
        <v>36</v>
      </c>
      <c r="D447" t="s">
        <v>65</v>
      </c>
      <c r="E447" t="s">
        <v>66</v>
      </c>
      <c r="F447" t="s">
        <v>31</v>
      </c>
      <c r="G447">
        <v>42491</v>
      </c>
      <c r="H447" s="1">
        <v>46144</v>
      </c>
      <c r="I447" t="s">
        <v>107</v>
      </c>
      <c r="J447" t="s">
        <v>91</v>
      </c>
      <c r="K447" t="s">
        <v>58</v>
      </c>
      <c r="L447">
        <v>5</v>
      </c>
      <c r="M447">
        <v>3</v>
      </c>
      <c r="N447">
        <v>1</v>
      </c>
      <c r="O447" t="s">
        <v>35</v>
      </c>
      <c r="P447" t="s">
        <v>36</v>
      </c>
      <c r="Q447">
        <v>177</v>
      </c>
      <c r="R447">
        <v>32</v>
      </c>
      <c r="S447">
        <v>15</v>
      </c>
      <c r="T447" t="s">
        <v>36</v>
      </c>
      <c r="U447" t="s">
        <v>36</v>
      </c>
      <c r="V447" t="s">
        <v>36</v>
      </c>
      <c r="W447" t="s">
        <v>126</v>
      </c>
      <c r="X447">
        <v>2026</v>
      </c>
      <c r="Y447" t="s">
        <v>74</v>
      </c>
      <c r="Z447" t="s">
        <v>62</v>
      </c>
      <c r="AA447" t="s">
        <v>41</v>
      </c>
    </row>
    <row r="448" spans="1:27" x14ac:dyDescent="0.3">
      <c r="A448" t="s">
        <v>567</v>
      </c>
      <c r="B448" t="s">
        <v>28</v>
      </c>
      <c r="C448">
        <v>34</v>
      </c>
      <c r="D448" t="s">
        <v>85</v>
      </c>
      <c r="E448" t="s">
        <v>151</v>
      </c>
      <c r="F448" t="s">
        <v>56</v>
      </c>
      <c r="G448">
        <v>38628</v>
      </c>
      <c r="H448" s="1">
        <v>46242</v>
      </c>
      <c r="I448" t="s">
        <v>47</v>
      </c>
      <c r="J448" t="s">
        <v>48</v>
      </c>
      <c r="K448" t="s">
        <v>49</v>
      </c>
      <c r="L448">
        <v>3</v>
      </c>
      <c r="M448">
        <v>2</v>
      </c>
      <c r="N448">
        <v>3</v>
      </c>
      <c r="O448" t="s">
        <v>35</v>
      </c>
      <c r="P448" t="s">
        <v>37</v>
      </c>
      <c r="Q448">
        <v>231</v>
      </c>
      <c r="R448">
        <v>79</v>
      </c>
      <c r="S448">
        <v>16</v>
      </c>
      <c r="T448" t="s">
        <v>36</v>
      </c>
      <c r="U448" t="s">
        <v>36</v>
      </c>
      <c r="V448" t="s">
        <v>36</v>
      </c>
      <c r="W448" t="s">
        <v>60</v>
      </c>
      <c r="X448">
        <v>2026</v>
      </c>
      <c r="Y448" t="s">
        <v>128</v>
      </c>
      <c r="Z448" t="s">
        <v>40</v>
      </c>
      <c r="AA448" t="s">
        <v>63</v>
      </c>
    </row>
    <row r="449" spans="1:27" x14ac:dyDescent="0.3">
      <c r="A449" t="s">
        <v>568</v>
      </c>
      <c r="B449" t="s">
        <v>28</v>
      </c>
      <c r="C449">
        <v>25</v>
      </c>
      <c r="D449" t="s">
        <v>44</v>
      </c>
      <c r="E449" t="s">
        <v>219</v>
      </c>
      <c r="F449" t="s">
        <v>56</v>
      </c>
      <c r="G449">
        <v>38120</v>
      </c>
      <c r="H449" s="1">
        <v>45221</v>
      </c>
      <c r="I449" t="s">
        <v>107</v>
      </c>
      <c r="J449" t="s">
        <v>33</v>
      </c>
      <c r="K449" t="s">
        <v>58</v>
      </c>
      <c r="L449">
        <v>1</v>
      </c>
      <c r="M449">
        <v>2</v>
      </c>
      <c r="N449">
        <v>5</v>
      </c>
      <c r="O449" t="s">
        <v>59</v>
      </c>
      <c r="P449" t="s">
        <v>37</v>
      </c>
      <c r="Q449">
        <v>157</v>
      </c>
      <c r="R449">
        <v>31</v>
      </c>
      <c r="S449">
        <v>22</v>
      </c>
      <c r="T449" t="s">
        <v>37</v>
      </c>
      <c r="U449" t="s">
        <v>36</v>
      </c>
      <c r="V449" t="s">
        <v>36</v>
      </c>
      <c r="W449" t="s">
        <v>60</v>
      </c>
      <c r="X449">
        <v>2023</v>
      </c>
      <c r="Y449" t="s">
        <v>83</v>
      </c>
      <c r="Z449" t="s">
        <v>104</v>
      </c>
      <c r="AA449" t="s">
        <v>63</v>
      </c>
    </row>
    <row r="450" spans="1:27" x14ac:dyDescent="0.3">
      <c r="A450" t="s">
        <v>569</v>
      </c>
      <c r="B450" t="s">
        <v>43</v>
      </c>
      <c r="C450">
        <v>28</v>
      </c>
      <c r="D450" t="s">
        <v>65</v>
      </c>
      <c r="E450" t="s">
        <v>147</v>
      </c>
      <c r="F450" t="s">
        <v>46</v>
      </c>
      <c r="G450">
        <v>85810</v>
      </c>
      <c r="H450" s="1">
        <v>45599</v>
      </c>
      <c r="I450" t="s">
        <v>32</v>
      </c>
      <c r="J450" t="s">
        <v>99</v>
      </c>
      <c r="K450" t="s">
        <v>34</v>
      </c>
      <c r="L450">
        <v>5</v>
      </c>
      <c r="M450">
        <v>4</v>
      </c>
      <c r="N450">
        <v>3</v>
      </c>
      <c r="O450" t="s">
        <v>68</v>
      </c>
      <c r="P450" t="s">
        <v>37</v>
      </c>
      <c r="Q450">
        <v>179</v>
      </c>
      <c r="R450">
        <v>33</v>
      </c>
      <c r="S450">
        <v>21</v>
      </c>
      <c r="T450" t="s">
        <v>36</v>
      </c>
      <c r="U450" t="s">
        <v>36</v>
      </c>
      <c r="V450" t="s">
        <v>36</v>
      </c>
      <c r="W450" t="s">
        <v>60</v>
      </c>
      <c r="X450">
        <v>2024</v>
      </c>
      <c r="Y450" t="s">
        <v>123</v>
      </c>
      <c r="Z450" t="s">
        <v>75</v>
      </c>
      <c r="AA450" t="s">
        <v>52</v>
      </c>
    </row>
    <row r="451" spans="1:27" x14ac:dyDescent="0.3">
      <c r="A451" t="s">
        <v>570</v>
      </c>
      <c r="B451" t="s">
        <v>28</v>
      </c>
      <c r="C451">
        <v>24</v>
      </c>
      <c r="D451" t="s">
        <v>89</v>
      </c>
      <c r="E451" t="s">
        <v>203</v>
      </c>
      <c r="F451" t="s">
        <v>56</v>
      </c>
      <c r="G451">
        <v>44110</v>
      </c>
      <c r="H451" s="1">
        <v>44254</v>
      </c>
      <c r="I451" t="s">
        <v>98</v>
      </c>
      <c r="J451" t="s">
        <v>33</v>
      </c>
      <c r="K451" t="s">
        <v>58</v>
      </c>
      <c r="L451">
        <v>0</v>
      </c>
      <c r="M451">
        <v>1</v>
      </c>
      <c r="N451">
        <v>2</v>
      </c>
      <c r="O451" t="s">
        <v>35</v>
      </c>
      <c r="P451" t="s">
        <v>37</v>
      </c>
      <c r="Q451">
        <v>166</v>
      </c>
      <c r="R451">
        <v>59</v>
      </c>
      <c r="S451">
        <v>25</v>
      </c>
      <c r="T451" t="s">
        <v>36</v>
      </c>
      <c r="U451" t="s">
        <v>37</v>
      </c>
      <c r="V451" t="s">
        <v>37</v>
      </c>
      <c r="W451" t="s">
        <v>38</v>
      </c>
      <c r="X451">
        <v>2021</v>
      </c>
      <c r="Y451" t="s">
        <v>39</v>
      </c>
      <c r="Z451" t="s">
        <v>104</v>
      </c>
      <c r="AA451" t="s">
        <v>41</v>
      </c>
    </row>
    <row r="452" spans="1:27" x14ac:dyDescent="0.3">
      <c r="A452" t="s">
        <v>571</v>
      </c>
      <c r="B452" t="s">
        <v>43</v>
      </c>
      <c r="C452">
        <v>31</v>
      </c>
      <c r="D452" t="s">
        <v>85</v>
      </c>
      <c r="E452" t="s">
        <v>168</v>
      </c>
      <c r="F452" t="s">
        <v>31</v>
      </c>
      <c r="G452">
        <v>55894</v>
      </c>
      <c r="H452" s="1">
        <v>45947</v>
      </c>
      <c r="I452" t="s">
        <v>32</v>
      </c>
      <c r="J452" t="s">
        <v>67</v>
      </c>
      <c r="K452" t="s">
        <v>49</v>
      </c>
      <c r="L452">
        <v>3</v>
      </c>
      <c r="M452">
        <v>2</v>
      </c>
      <c r="N452">
        <v>3</v>
      </c>
      <c r="O452" t="s">
        <v>35</v>
      </c>
      <c r="P452" t="s">
        <v>36</v>
      </c>
      <c r="Q452">
        <v>223</v>
      </c>
      <c r="R452">
        <v>51</v>
      </c>
      <c r="S452">
        <v>14</v>
      </c>
      <c r="T452" t="s">
        <v>36</v>
      </c>
      <c r="U452" t="s">
        <v>36</v>
      </c>
      <c r="V452" t="s">
        <v>36</v>
      </c>
      <c r="W452" t="s">
        <v>60</v>
      </c>
      <c r="X452">
        <v>2025</v>
      </c>
      <c r="Y452" t="s">
        <v>83</v>
      </c>
      <c r="Z452" t="s">
        <v>40</v>
      </c>
      <c r="AA452" t="s">
        <v>41</v>
      </c>
    </row>
    <row r="453" spans="1:27" x14ac:dyDescent="0.3">
      <c r="A453" t="s">
        <v>572</v>
      </c>
      <c r="B453" t="s">
        <v>43</v>
      </c>
      <c r="C453">
        <v>38</v>
      </c>
      <c r="D453" t="s">
        <v>89</v>
      </c>
      <c r="E453" t="s">
        <v>130</v>
      </c>
      <c r="F453" t="s">
        <v>96</v>
      </c>
      <c r="G453">
        <v>110431</v>
      </c>
      <c r="H453" s="1">
        <v>45440</v>
      </c>
      <c r="I453" t="s">
        <v>107</v>
      </c>
      <c r="J453" t="s">
        <v>73</v>
      </c>
      <c r="K453" t="s">
        <v>34</v>
      </c>
      <c r="L453">
        <v>20</v>
      </c>
      <c r="M453">
        <v>1</v>
      </c>
      <c r="N453">
        <v>4</v>
      </c>
      <c r="O453" t="s">
        <v>68</v>
      </c>
      <c r="P453" t="s">
        <v>36</v>
      </c>
      <c r="Q453">
        <v>259</v>
      </c>
      <c r="R453">
        <v>37</v>
      </c>
      <c r="S453">
        <v>14</v>
      </c>
      <c r="T453" t="s">
        <v>36</v>
      </c>
      <c r="U453" t="s">
        <v>37</v>
      </c>
      <c r="V453" t="s">
        <v>36</v>
      </c>
      <c r="W453" t="s">
        <v>60</v>
      </c>
      <c r="X453">
        <v>2024</v>
      </c>
      <c r="Y453" t="s">
        <v>74</v>
      </c>
      <c r="Z453" t="s">
        <v>62</v>
      </c>
      <c r="AA453" t="s">
        <v>87</v>
      </c>
    </row>
    <row r="454" spans="1:27" x14ac:dyDescent="0.3">
      <c r="A454" t="s">
        <v>573</v>
      </c>
      <c r="B454" t="s">
        <v>43</v>
      </c>
      <c r="C454">
        <v>25</v>
      </c>
      <c r="D454" t="s">
        <v>81</v>
      </c>
      <c r="E454" t="s">
        <v>165</v>
      </c>
      <c r="F454" t="s">
        <v>96</v>
      </c>
      <c r="G454">
        <v>99429</v>
      </c>
      <c r="H454" s="1">
        <v>44025</v>
      </c>
      <c r="I454" t="s">
        <v>98</v>
      </c>
      <c r="J454" t="s">
        <v>91</v>
      </c>
      <c r="K454" t="s">
        <v>49</v>
      </c>
      <c r="L454">
        <v>13</v>
      </c>
      <c r="M454">
        <v>4</v>
      </c>
      <c r="N454">
        <v>2</v>
      </c>
      <c r="O454" t="s">
        <v>59</v>
      </c>
      <c r="P454" t="s">
        <v>37</v>
      </c>
      <c r="Q454">
        <v>174</v>
      </c>
      <c r="R454">
        <v>58</v>
      </c>
      <c r="S454">
        <v>14</v>
      </c>
      <c r="T454" t="s">
        <v>36</v>
      </c>
      <c r="U454" t="s">
        <v>37</v>
      </c>
      <c r="V454" t="s">
        <v>37</v>
      </c>
      <c r="W454" t="s">
        <v>38</v>
      </c>
      <c r="X454">
        <v>2020</v>
      </c>
      <c r="Y454" t="s">
        <v>79</v>
      </c>
      <c r="Z454" t="s">
        <v>104</v>
      </c>
      <c r="AA454" t="s">
        <v>87</v>
      </c>
    </row>
    <row r="455" spans="1:27" x14ac:dyDescent="0.3">
      <c r="A455" t="s">
        <v>574</v>
      </c>
      <c r="B455" t="s">
        <v>43</v>
      </c>
      <c r="C455">
        <v>35</v>
      </c>
      <c r="D455" t="s">
        <v>77</v>
      </c>
      <c r="E455" t="s">
        <v>133</v>
      </c>
      <c r="F455" t="s">
        <v>46</v>
      </c>
      <c r="G455">
        <v>107011</v>
      </c>
      <c r="H455" s="1">
        <v>43757</v>
      </c>
      <c r="I455" t="s">
        <v>47</v>
      </c>
      <c r="J455" t="s">
        <v>67</v>
      </c>
      <c r="K455" t="s">
        <v>34</v>
      </c>
      <c r="L455">
        <v>14</v>
      </c>
      <c r="M455">
        <v>4</v>
      </c>
      <c r="N455">
        <v>1</v>
      </c>
      <c r="O455" t="s">
        <v>50</v>
      </c>
      <c r="P455" t="s">
        <v>37</v>
      </c>
      <c r="Q455">
        <v>199</v>
      </c>
      <c r="R455">
        <v>70</v>
      </c>
      <c r="S455">
        <v>24</v>
      </c>
      <c r="T455" t="s">
        <v>36</v>
      </c>
      <c r="U455" t="s">
        <v>36</v>
      </c>
      <c r="V455" t="s">
        <v>37</v>
      </c>
      <c r="W455" t="s">
        <v>38</v>
      </c>
      <c r="X455">
        <v>2019</v>
      </c>
      <c r="Y455" t="s">
        <v>83</v>
      </c>
      <c r="Z455" t="s">
        <v>40</v>
      </c>
      <c r="AA455" t="s">
        <v>87</v>
      </c>
    </row>
    <row r="456" spans="1:27" x14ac:dyDescent="0.3">
      <c r="A456" t="s">
        <v>575</v>
      </c>
      <c r="B456" t="s">
        <v>43</v>
      </c>
      <c r="C456">
        <v>28</v>
      </c>
      <c r="D456" t="s">
        <v>29</v>
      </c>
      <c r="E456" t="s">
        <v>122</v>
      </c>
      <c r="F456" t="s">
        <v>96</v>
      </c>
      <c r="G456">
        <v>122347</v>
      </c>
      <c r="H456" s="1">
        <v>45422</v>
      </c>
      <c r="I456" t="s">
        <v>32</v>
      </c>
      <c r="J456" t="s">
        <v>67</v>
      </c>
      <c r="K456" t="s">
        <v>34</v>
      </c>
      <c r="L456">
        <v>11</v>
      </c>
      <c r="M456">
        <v>1</v>
      </c>
      <c r="N456">
        <v>3</v>
      </c>
      <c r="O456" t="s">
        <v>59</v>
      </c>
      <c r="P456" t="s">
        <v>36</v>
      </c>
      <c r="Q456">
        <v>240</v>
      </c>
      <c r="R456">
        <v>23</v>
      </c>
      <c r="S456">
        <v>10</v>
      </c>
      <c r="T456" t="s">
        <v>37</v>
      </c>
      <c r="U456" t="s">
        <v>37</v>
      </c>
      <c r="V456" t="s">
        <v>36</v>
      </c>
      <c r="W456" t="s">
        <v>60</v>
      </c>
      <c r="X456">
        <v>2024</v>
      </c>
      <c r="Y456" t="s">
        <v>74</v>
      </c>
      <c r="Z456" t="s">
        <v>75</v>
      </c>
      <c r="AA456" t="s">
        <v>87</v>
      </c>
    </row>
    <row r="457" spans="1:27" x14ac:dyDescent="0.3">
      <c r="A457" t="s">
        <v>576</v>
      </c>
      <c r="B457" t="s">
        <v>28</v>
      </c>
      <c r="C457">
        <v>26</v>
      </c>
      <c r="D457" t="s">
        <v>54</v>
      </c>
      <c r="E457" t="s">
        <v>153</v>
      </c>
      <c r="F457" t="s">
        <v>96</v>
      </c>
      <c r="G457">
        <v>142122</v>
      </c>
      <c r="H457" s="1">
        <v>45866</v>
      </c>
      <c r="I457" t="s">
        <v>107</v>
      </c>
      <c r="J457" t="s">
        <v>67</v>
      </c>
      <c r="K457" t="s">
        <v>34</v>
      </c>
      <c r="L457">
        <v>19</v>
      </c>
      <c r="M457">
        <v>1</v>
      </c>
      <c r="N457">
        <v>5</v>
      </c>
      <c r="O457" t="s">
        <v>59</v>
      </c>
      <c r="P457" t="s">
        <v>37</v>
      </c>
      <c r="Q457">
        <v>204</v>
      </c>
      <c r="R457">
        <v>80</v>
      </c>
      <c r="S457">
        <v>11</v>
      </c>
      <c r="T457" t="s">
        <v>36</v>
      </c>
      <c r="U457" t="s">
        <v>36</v>
      </c>
      <c r="V457" t="s">
        <v>36</v>
      </c>
      <c r="W457" t="s">
        <v>126</v>
      </c>
      <c r="X457">
        <v>2025</v>
      </c>
      <c r="Y457" t="s">
        <v>79</v>
      </c>
      <c r="Z457" t="s">
        <v>75</v>
      </c>
      <c r="AA457" t="s">
        <v>105</v>
      </c>
    </row>
    <row r="458" spans="1:27" x14ac:dyDescent="0.3">
      <c r="A458" t="s">
        <v>577</v>
      </c>
      <c r="B458" t="s">
        <v>28</v>
      </c>
      <c r="C458">
        <v>31</v>
      </c>
      <c r="D458" t="s">
        <v>54</v>
      </c>
      <c r="E458" t="s">
        <v>207</v>
      </c>
      <c r="F458" t="s">
        <v>31</v>
      </c>
      <c r="G458">
        <v>50815</v>
      </c>
      <c r="H458" s="1">
        <v>44324</v>
      </c>
      <c r="I458" t="s">
        <v>57</v>
      </c>
      <c r="J458" t="s">
        <v>118</v>
      </c>
      <c r="K458" t="s">
        <v>34</v>
      </c>
      <c r="L458">
        <v>7</v>
      </c>
      <c r="M458">
        <v>4</v>
      </c>
      <c r="N458">
        <v>3</v>
      </c>
      <c r="O458" t="s">
        <v>59</v>
      </c>
      <c r="P458" t="s">
        <v>37</v>
      </c>
      <c r="Q458">
        <v>171</v>
      </c>
      <c r="R458">
        <v>41</v>
      </c>
      <c r="S458">
        <v>25</v>
      </c>
      <c r="T458" t="s">
        <v>36</v>
      </c>
      <c r="U458" t="s">
        <v>36</v>
      </c>
      <c r="V458" t="s">
        <v>37</v>
      </c>
      <c r="W458" t="s">
        <v>38</v>
      </c>
      <c r="X458">
        <v>2021</v>
      </c>
      <c r="Y458" t="s">
        <v>74</v>
      </c>
      <c r="Z458" t="s">
        <v>40</v>
      </c>
      <c r="AA458" t="s">
        <v>41</v>
      </c>
    </row>
    <row r="459" spans="1:27" x14ac:dyDescent="0.3">
      <c r="A459" t="s">
        <v>578</v>
      </c>
      <c r="B459" t="s">
        <v>28</v>
      </c>
      <c r="C459">
        <v>24</v>
      </c>
      <c r="D459" t="s">
        <v>85</v>
      </c>
      <c r="E459" t="s">
        <v>151</v>
      </c>
      <c r="F459" t="s">
        <v>31</v>
      </c>
      <c r="G459">
        <v>65070</v>
      </c>
      <c r="H459" s="1">
        <v>44277</v>
      </c>
      <c r="I459" t="s">
        <v>32</v>
      </c>
      <c r="J459" t="s">
        <v>73</v>
      </c>
      <c r="K459" t="s">
        <v>58</v>
      </c>
      <c r="L459">
        <v>3</v>
      </c>
      <c r="M459">
        <v>4</v>
      </c>
      <c r="N459">
        <v>2</v>
      </c>
      <c r="O459" t="s">
        <v>35</v>
      </c>
      <c r="P459" t="s">
        <v>36</v>
      </c>
      <c r="Q459">
        <v>164</v>
      </c>
      <c r="R459">
        <v>28</v>
      </c>
      <c r="S459">
        <v>27</v>
      </c>
      <c r="T459" t="s">
        <v>37</v>
      </c>
      <c r="U459" t="s">
        <v>36</v>
      </c>
      <c r="V459" t="s">
        <v>36</v>
      </c>
      <c r="W459" t="s">
        <v>60</v>
      </c>
      <c r="X459">
        <v>2021</v>
      </c>
      <c r="Y459" t="s">
        <v>142</v>
      </c>
      <c r="Z459" t="s">
        <v>104</v>
      </c>
      <c r="AA459" t="s">
        <v>52</v>
      </c>
    </row>
    <row r="460" spans="1:27" x14ac:dyDescent="0.3">
      <c r="A460" t="s">
        <v>579</v>
      </c>
      <c r="B460" t="s">
        <v>43</v>
      </c>
      <c r="C460">
        <v>28</v>
      </c>
      <c r="D460" t="s">
        <v>89</v>
      </c>
      <c r="E460" t="s">
        <v>203</v>
      </c>
      <c r="F460" t="s">
        <v>31</v>
      </c>
      <c r="G460">
        <v>44615</v>
      </c>
      <c r="H460" s="1">
        <v>43817</v>
      </c>
      <c r="I460" t="s">
        <v>32</v>
      </c>
      <c r="J460" t="s">
        <v>101</v>
      </c>
      <c r="K460" t="s">
        <v>49</v>
      </c>
      <c r="L460">
        <v>4</v>
      </c>
      <c r="M460">
        <v>4</v>
      </c>
      <c r="N460">
        <v>1</v>
      </c>
      <c r="O460" t="s">
        <v>35</v>
      </c>
      <c r="P460" t="s">
        <v>36</v>
      </c>
      <c r="Q460">
        <v>158</v>
      </c>
      <c r="R460">
        <v>6</v>
      </c>
      <c r="S460">
        <v>3</v>
      </c>
      <c r="T460" t="s">
        <v>36</v>
      </c>
      <c r="U460" t="s">
        <v>36</v>
      </c>
      <c r="V460" t="s">
        <v>37</v>
      </c>
      <c r="W460" t="s">
        <v>38</v>
      </c>
      <c r="X460">
        <v>2019</v>
      </c>
      <c r="Y460" t="s">
        <v>116</v>
      </c>
      <c r="Z460" t="s">
        <v>75</v>
      </c>
      <c r="AA460" t="s">
        <v>41</v>
      </c>
    </row>
    <row r="461" spans="1:27" x14ac:dyDescent="0.3">
      <c r="A461" t="s">
        <v>580</v>
      </c>
      <c r="B461" t="s">
        <v>28</v>
      </c>
      <c r="C461">
        <v>23</v>
      </c>
      <c r="D461" t="s">
        <v>29</v>
      </c>
      <c r="E461" t="s">
        <v>103</v>
      </c>
      <c r="F461" t="s">
        <v>31</v>
      </c>
      <c r="G461">
        <v>59115</v>
      </c>
      <c r="H461" s="1">
        <v>45004</v>
      </c>
      <c r="I461" t="s">
        <v>98</v>
      </c>
      <c r="J461" t="s">
        <v>118</v>
      </c>
      <c r="K461" t="s">
        <v>49</v>
      </c>
      <c r="L461">
        <v>2</v>
      </c>
      <c r="M461">
        <v>5</v>
      </c>
      <c r="N461">
        <v>5</v>
      </c>
      <c r="O461" t="s">
        <v>50</v>
      </c>
      <c r="P461" t="s">
        <v>36</v>
      </c>
      <c r="Q461">
        <v>212</v>
      </c>
      <c r="R461">
        <v>48</v>
      </c>
      <c r="S461">
        <v>12</v>
      </c>
      <c r="T461" t="s">
        <v>37</v>
      </c>
      <c r="U461" t="s">
        <v>36</v>
      </c>
      <c r="V461" t="s">
        <v>36</v>
      </c>
      <c r="W461" t="s">
        <v>60</v>
      </c>
      <c r="X461">
        <v>2023</v>
      </c>
      <c r="Y461" t="s">
        <v>142</v>
      </c>
      <c r="Z461" t="s">
        <v>104</v>
      </c>
      <c r="AA461" t="s">
        <v>41</v>
      </c>
    </row>
    <row r="462" spans="1:27" x14ac:dyDescent="0.3">
      <c r="A462" t="s">
        <v>581</v>
      </c>
      <c r="B462" t="s">
        <v>43</v>
      </c>
      <c r="C462">
        <v>45</v>
      </c>
      <c r="D462" t="s">
        <v>77</v>
      </c>
      <c r="E462" t="s">
        <v>182</v>
      </c>
      <c r="F462" t="s">
        <v>46</v>
      </c>
      <c r="G462">
        <v>86643</v>
      </c>
      <c r="H462" s="1">
        <v>43478</v>
      </c>
      <c r="I462" t="s">
        <v>57</v>
      </c>
      <c r="J462" t="s">
        <v>67</v>
      </c>
      <c r="K462" t="s">
        <v>34</v>
      </c>
      <c r="L462">
        <v>6</v>
      </c>
      <c r="M462">
        <v>4</v>
      </c>
      <c r="N462">
        <v>4</v>
      </c>
      <c r="O462" t="s">
        <v>68</v>
      </c>
      <c r="P462" t="s">
        <v>36</v>
      </c>
      <c r="Q462">
        <v>256</v>
      </c>
      <c r="R462">
        <v>52</v>
      </c>
      <c r="S462">
        <v>16</v>
      </c>
      <c r="T462" t="s">
        <v>36</v>
      </c>
      <c r="U462" t="s">
        <v>36</v>
      </c>
      <c r="V462" t="s">
        <v>37</v>
      </c>
      <c r="W462" t="s">
        <v>38</v>
      </c>
      <c r="X462">
        <v>2019</v>
      </c>
      <c r="Y462" t="s">
        <v>94</v>
      </c>
      <c r="Z462" t="s">
        <v>70</v>
      </c>
      <c r="AA462" t="s">
        <v>52</v>
      </c>
    </row>
    <row r="463" spans="1:27" x14ac:dyDescent="0.3">
      <c r="A463" t="s">
        <v>582</v>
      </c>
      <c r="B463" t="s">
        <v>43</v>
      </c>
      <c r="C463">
        <v>32</v>
      </c>
      <c r="D463" t="s">
        <v>77</v>
      </c>
      <c r="E463" t="s">
        <v>138</v>
      </c>
      <c r="F463" t="s">
        <v>56</v>
      </c>
      <c r="G463">
        <v>38557</v>
      </c>
      <c r="H463" s="1">
        <v>46061</v>
      </c>
      <c r="I463" t="s">
        <v>47</v>
      </c>
      <c r="J463" t="s">
        <v>118</v>
      </c>
      <c r="K463" t="s">
        <v>34</v>
      </c>
      <c r="L463">
        <v>0</v>
      </c>
      <c r="M463">
        <v>3</v>
      </c>
      <c r="N463">
        <v>1</v>
      </c>
      <c r="O463" t="s">
        <v>35</v>
      </c>
      <c r="P463" t="s">
        <v>36</v>
      </c>
      <c r="Q463">
        <v>191</v>
      </c>
      <c r="R463">
        <v>49</v>
      </c>
      <c r="S463">
        <v>15</v>
      </c>
      <c r="T463" t="s">
        <v>36</v>
      </c>
      <c r="U463" t="s">
        <v>36</v>
      </c>
      <c r="V463" t="s">
        <v>36</v>
      </c>
      <c r="W463" t="s">
        <v>60</v>
      </c>
      <c r="X463">
        <v>2026</v>
      </c>
      <c r="Y463" t="s">
        <v>39</v>
      </c>
      <c r="Z463" t="s">
        <v>40</v>
      </c>
      <c r="AA463" t="s">
        <v>63</v>
      </c>
    </row>
    <row r="464" spans="1:27" x14ac:dyDescent="0.3">
      <c r="A464" t="s">
        <v>583</v>
      </c>
      <c r="B464" t="s">
        <v>43</v>
      </c>
      <c r="C464">
        <v>27</v>
      </c>
      <c r="D464" t="s">
        <v>81</v>
      </c>
      <c r="E464" t="s">
        <v>113</v>
      </c>
      <c r="F464" t="s">
        <v>31</v>
      </c>
      <c r="G464">
        <v>59041</v>
      </c>
      <c r="H464" s="1">
        <v>45532</v>
      </c>
      <c r="I464" t="s">
        <v>98</v>
      </c>
      <c r="J464" t="s">
        <v>101</v>
      </c>
      <c r="K464" t="s">
        <v>58</v>
      </c>
      <c r="L464">
        <v>6</v>
      </c>
      <c r="M464">
        <v>1</v>
      </c>
      <c r="N464">
        <v>2</v>
      </c>
      <c r="O464" t="s">
        <v>59</v>
      </c>
      <c r="P464" t="s">
        <v>36</v>
      </c>
      <c r="Q464">
        <v>251</v>
      </c>
      <c r="R464">
        <v>19</v>
      </c>
      <c r="S464">
        <v>17</v>
      </c>
      <c r="T464" t="s">
        <v>36</v>
      </c>
      <c r="U464" t="s">
        <v>37</v>
      </c>
      <c r="V464" t="s">
        <v>36</v>
      </c>
      <c r="W464" t="s">
        <v>60</v>
      </c>
      <c r="X464">
        <v>2024</v>
      </c>
      <c r="Y464" t="s">
        <v>128</v>
      </c>
      <c r="Z464" t="s">
        <v>75</v>
      </c>
      <c r="AA464" t="s">
        <v>41</v>
      </c>
    </row>
    <row r="465" spans="1:27" x14ac:dyDescent="0.3">
      <c r="A465" t="s">
        <v>584</v>
      </c>
      <c r="B465" t="s">
        <v>28</v>
      </c>
      <c r="C465">
        <v>33</v>
      </c>
      <c r="D465" t="s">
        <v>44</v>
      </c>
      <c r="E465" t="s">
        <v>115</v>
      </c>
      <c r="F465" t="s">
        <v>56</v>
      </c>
      <c r="G465">
        <v>31456</v>
      </c>
      <c r="H465" s="1">
        <v>43585</v>
      </c>
      <c r="I465" t="s">
        <v>107</v>
      </c>
      <c r="J465" t="s">
        <v>101</v>
      </c>
      <c r="K465" t="s">
        <v>34</v>
      </c>
      <c r="L465">
        <v>3</v>
      </c>
      <c r="M465">
        <v>2</v>
      </c>
      <c r="N465">
        <v>3</v>
      </c>
      <c r="O465" t="s">
        <v>35</v>
      </c>
      <c r="P465" t="s">
        <v>36</v>
      </c>
      <c r="Q465">
        <v>248</v>
      </c>
      <c r="R465">
        <v>22</v>
      </c>
      <c r="S465">
        <v>19</v>
      </c>
      <c r="T465" t="s">
        <v>36</v>
      </c>
      <c r="U465" t="s">
        <v>36</v>
      </c>
      <c r="V465" t="s">
        <v>36</v>
      </c>
      <c r="W465" t="s">
        <v>126</v>
      </c>
      <c r="X465">
        <v>2019</v>
      </c>
      <c r="Y465" t="s">
        <v>69</v>
      </c>
      <c r="Z465" t="s">
        <v>40</v>
      </c>
      <c r="AA465" t="s">
        <v>63</v>
      </c>
    </row>
    <row r="466" spans="1:27" x14ac:dyDescent="0.3">
      <c r="A466" t="s">
        <v>585</v>
      </c>
      <c r="B466" t="s">
        <v>28</v>
      </c>
      <c r="C466">
        <v>31</v>
      </c>
      <c r="D466" t="s">
        <v>65</v>
      </c>
      <c r="E466" t="s">
        <v>147</v>
      </c>
      <c r="F466" t="s">
        <v>56</v>
      </c>
      <c r="G466">
        <v>39246</v>
      </c>
      <c r="H466" s="1">
        <v>45029</v>
      </c>
      <c r="I466" t="s">
        <v>57</v>
      </c>
      <c r="J466" t="s">
        <v>48</v>
      </c>
      <c r="K466" t="s">
        <v>58</v>
      </c>
      <c r="L466">
        <v>3</v>
      </c>
      <c r="M466">
        <v>5</v>
      </c>
      <c r="N466">
        <v>4</v>
      </c>
      <c r="O466" t="s">
        <v>50</v>
      </c>
      <c r="P466" t="s">
        <v>37</v>
      </c>
      <c r="Q466">
        <v>178</v>
      </c>
      <c r="R466">
        <v>80</v>
      </c>
      <c r="S466">
        <v>8</v>
      </c>
      <c r="T466" t="s">
        <v>36</v>
      </c>
      <c r="U466" t="s">
        <v>36</v>
      </c>
      <c r="V466" t="s">
        <v>37</v>
      </c>
      <c r="W466" t="s">
        <v>38</v>
      </c>
      <c r="X466">
        <v>2023</v>
      </c>
      <c r="Y466" t="s">
        <v>69</v>
      </c>
      <c r="Z466" t="s">
        <v>40</v>
      </c>
      <c r="AA466" t="s">
        <v>63</v>
      </c>
    </row>
    <row r="467" spans="1:27" x14ac:dyDescent="0.3">
      <c r="A467" t="s">
        <v>586</v>
      </c>
      <c r="B467" t="s">
        <v>28</v>
      </c>
      <c r="C467">
        <v>30</v>
      </c>
      <c r="D467" t="s">
        <v>65</v>
      </c>
      <c r="E467" t="s">
        <v>147</v>
      </c>
      <c r="F467" t="s">
        <v>46</v>
      </c>
      <c r="G467">
        <v>89916</v>
      </c>
      <c r="H467" s="1">
        <v>43472</v>
      </c>
      <c r="I467" t="s">
        <v>47</v>
      </c>
      <c r="J467" t="s">
        <v>91</v>
      </c>
      <c r="K467" t="s">
        <v>49</v>
      </c>
      <c r="L467">
        <v>14</v>
      </c>
      <c r="M467">
        <v>3</v>
      </c>
      <c r="N467">
        <v>1</v>
      </c>
      <c r="O467" t="s">
        <v>68</v>
      </c>
      <c r="P467" t="s">
        <v>36</v>
      </c>
      <c r="Q467">
        <v>218</v>
      </c>
      <c r="R467">
        <v>71</v>
      </c>
      <c r="S467">
        <v>23</v>
      </c>
      <c r="T467" t="s">
        <v>36</v>
      </c>
      <c r="U467" t="s">
        <v>36</v>
      </c>
      <c r="V467" t="s">
        <v>36</v>
      </c>
      <c r="W467" t="s">
        <v>60</v>
      </c>
      <c r="X467">
        <v>2019</v>
      </c>
      <c r="Y467" t="s">
        <v>94</v>
      </c>
      <c r="Z467" t="s">
        <v>75</v>
      </c>
      <c r="AA467" t="s">
        <v>52</v>
      </c>
    </row>
    <row r="468" spans="1:27" x14ac:dyDescent="0.3">
      <c r="A468" t="s">
        <v>587</v>
      </c>
      <c r="B468" t="s">
        <v>28</v>
      </c>
      <c r="C468">
        <v>36</v>
      </c>
      <c r="D468" t="s">
        <v>77</v>
      </c>
      <c r="E468" t="s">
        <v>182</v>
      </c>
      <c r="F468" t="s">
        <v>96</v>
      </c>
      <c r="G468">
        <v>131409</v>
      </c>
      <c r="H468" s="1">
        <v>44681</v>
      </c>
      <c r="I468" t="s">
        <v>32</v>
      </c>
      <c r="J468" t="s">
        <v>99</v>
      </c>
      <c r="K468" t="s">
        <v>34</v>
      </c>
      <c r="L468">
        <v>10</v>
      </c>
      <c r="M468">
        <v>2</v>
      </c>
      <c r="N468">
        <v>4</v>
      </c>
      <c r="O468" t="s">
        <v>50</v>
      </c>
      <c r="P468" t="s">
        <v>36</v>
      </c>
      <c r="Q468">
        <v>208</v>
      </c>
      <c r="R468">
        <v>44</v>
      </c>
      <c r="S468">
        <v>18</v>
      </c>
      <c r="T468" t="s">
        <v>36</v>
      </c>
      <c r="U468" t="s">
        <v>36</v>
      </c>
      <c r="V468" t="s">
        <v>36</v>
      </c>
      <c r="W468" t="s">
        <v>60</v>
      </c>
      <c r="X468">
        <v>2022</v>
      </c>
      <c r="Y468" t="s">
        <v>69</v>
      </c>
      <c r="Z468" t="s">
        <v>62</v>
      </c>
      <c r="AA468" t="s">
        <v>105</v>
      </c>
    </row>
    <row r="469" spans="1:27" x14ac:dyDescent="0.3">
      <c r="A469" t="s">
        <v>588</v>
      </c>
      <c r="B469" t="s">
        <v>43</v>
      </c>
      <c r="C469">
        <v>37</v>
      </c>
      <c r="D469" t="s">
        <v>89</v>
      </c>
      <c r="E469" t="s">
        <v>90</v>
      </c>
      <c r="F469" t="s">
        <v>96</v>
      </c>
      <c r="G469">
        <v>128206</v>
      </c>
      <c r="H469" s="1">
        <v>45008</v>
      </c>
      <c r="I469" t="s">
        <v>32</v>
      </c>
      <c r="J469" t="s">
        <v>99</v>
      </c>
      <c r="K469" t="s">
        <v>58</v>
      </c>
      <c r="L469">
        <v>19</v>
      </c>
      <c r="M469">
        <v>1</v>
      </c>
      <c r="N469">
        <v>3</v>
      </c>
      <c r="O469" t="s">
        <v>59</v>
      </c>
      <c r="P469" t="s">
        <v>37</v>
      </c>
      <c r="Q469">
        <v>255</v>
      </c>
      <c r="R469">
        <v>55</v>
      </c>
      <c r="S469">
        <v>11</v>
      </c>
      <c r="T469" t="s">
        <v>36</v>
      </c>
      <c r="U469" t="s">
        <v>36</v>
      </c>
      <c r="V469" t="s">
        <v>36</v>
      </c>
      <c r="W469" t="s">
        <v>60</v>
      </c>
      <c r="X469">
        <v>2023</v>
      </c>
      <c r="Y469" t="s">
        <v>142</v>
      </c>
      <c r="Z469" t="s">
        <v>62</v>
      </c>
      <c r="AA469" t="s">
        <v>87</v>
      </c>
    </row>
    <row r="470" spans="1:27" x14ac:dyDescent="0.3">
      <c r="A470" t="s">
        <v>589</v>
      </c>
      <c r="B470" t="s">
        <v>28</v>
      </c>
      <c r="C470">
        <v>28</v>
      </c>
      <c r="D470" t="s">
        <v>77</v>
      </c>
      <c r="E470" t="s">
        <v>78</v>
      </c>
      <c r="F470" t="s">
        <v>96</v>
      </c>
      <c r="G470">
        <v>152052</v>
      </c>
      <c r="H470" s="1">
        <v>45069</v>
      </c>
      <c r="I470" t="s">
        <v>32</v>
      </c>
      <c r="J470" t="s">
        <v>118</v>
      </c>
      <c r="K470" t="s">
        <v>58</v>
      </c>
      <c r="L470">
        <v>13</v>
      </c>
      <c r="M470">
        <v>4</v>
      </c>
      <c r="N470">
        <v>1</v>
      </c>
      <c r="O470" t="s">
        <v>68</v>
      </c>
      <c r="P470" t="s">
        <v>36</v>
      </c>
      <c r="Q470">
        <v>243</v>
      </c>
      <c r="R470">
        <v>46</v>
      </c>
      <c r="S470">
        <v>26</v>
      </c>
      <c r="T470" t="s">
        <v>36</v>
      </c>
      <c r="U470" t="s">
        <v>36</v>
      </c>
      <c r="V470" t="s">
        <v>36</v>
      </c>
      <c r="W470" t="s">
        <v>60</v>
      </c>
      <c r="X470">
        <v>2023</v>
      </c>
      <c r="Y470" t="s">
        <v>74</v>
      </c>
      <c r="Z470" t="s">
        <v>75</v>
      </c>
      <c r="AA470" t="s">
        <v>105</v>
      </c>
    </row>
    <row r="471" spans="1:27" x14ac:dyDescent="0.3">
      <c r="A471" t="s">
        <v>590</v>
      </c>
      <c r="B471" t="s">
        <v>43</v>
      </c>
      <c r="C471">
        <v>27</v>
      </c>
      <c r="D471" t="s">
        <v>89</v>
      </c>
      <c r="E471" t="s">
        <v>90</v>
      </c>
      <c r="F471" t="s">
        <v>31</v>
      </c>
      <c r="G471">
        <v>56479</v>
      </c>
      <c r="H471" s="1">
        <v>45442</v>
      </c>
      <c r="I471" t="s">
        <v>57</v>
      </c>
      <c r="J471" t="s">
        <v>91</v>
      </c>
      <c r="K471" t="s">
        <v>34</v>
      </c>
      <c r="L471">
        <v>7</v>
      </c>
      <c r="M471">
        <v>3</v>
      </c>
      <c r="N471">
        <v>2</v>
      </c>
      <c r="O471" t="s">
        <v>35</v>
      </c>
      <c r="P471" t="s">
        <v>37</v>
      </c>
      <c r="Q471">
        <v>177</v>
      </c>
      <c r="R471">
        <v>23</v>
      </c>
      <c r="S471">
        <v>14</v>
      </c>
      <c r="T471" t="s">
        <v>36</v>
      </c>
      <c r="U471" t="s">
        <v>36</v>
      </c>
      <c r="V471" t="s">
        <v>36</v>
      </c>
      <c r="W471" t="s">
        <v>60</v>
      </c>
      <c r="X471">
        <v>2024</v>
      </c>
      <c r="Y471" t="s">
        <v>74</v>
      </c>
      <c r="Z471" t="s">
        <v>75</v>
      </c>
      <c r="AA471" t="s">
        <v>41</v>
      </c>
    </row>
    <row r="472" spans="1:27" x14ac:dyDescent="0.3">
      <c r="A472" t="s">
        <v>591</v>
      </c>
      <c r="B472" t="s">
        <v>28</v>
      </c>
      <c r="C472">
        <v>30</v>
      </c>
      <c r="D472" t="s">
        <v>54</v>
      </c>
      <c r="E472" t="s">
        <v>207</v>
      </c>
      <c r="F472" t="s">
        <v>96</v>
      </c>
      <c r="G472">
        <v>113544</v>
      </c>
      <c r="H472" s="1">
        <v>43946</v>
      </c>
      <c r="I472" t="s">
        <v>47</v>
      </c>
      <c r="J472" t="s">
        <v>33</v>
      </c>
      <c r="K472" t="s">
        <v>58</v>
      </c>
      <c r="L472">
        <v>8</v>
      </c>
      <c r="M472">
        <v>5</v>
      </c>
      <c r="N472">
        <v>3</v>
      </c>
      <c r="O472" t="s">
        <v>35</v>
      </c>
      <c r="P472" t="s">
        <v>36</v>
      </c>
      <c r="Q472">
        <v>205</v>
      </c>
      <c r="R472">
        <v>35</v>
      </c>
      <c r="S472">
        <v>14</v>
      </c>
      <c r="T472" t="s">
        <v>36</v>
      </c>
      <c r="U472" t="s">
        <v>36</v>
      </c>
      <c r="V472" t="s">
        <v>36</v>
      </c>
      <c r="W472" t="s">
        <v>60</v>
      </c>
      <c r="X472">
        <v>2020</v>
      </c>
      <c r="Y472" t="s">
        <v>69</v>
      </c>
      <c r="Z472" t="s">
        <v>75</v>
      </c>
      <c r="AA472" t="s">
        <v>87</v>
      </c>
    </row>
    <row r="473" spans="1:27" x14ac:dyDescent="0.3">
      <c r="A473" t="s">
        <v>592</v>
      </c>
      <c r="B473" t="s">
        <v>28</v>
      </c>
      <c r="C473">
        <v>21</v>
      </c>
      <c r="D473" t="s">
        <v>77</v>
      </c>
      <c r="E473" t="s">
        <v>182</v>
      </c>
      <c r="F473" t="s">
        <v>96</v>
      </c>
      <c r="G473">
        <v>140082</v>
      </c>
      <c r="H473" s="1">
        <v>46056</v>
      </c>
      <c r="I473" t="s">
        <v>47</v>
      </c>
      <c r="J473" t="s">
        <v>33</v>
      </c>
      <c r="K473" t="s">
        <v>58</v>
      </c>
      <c r="L473">
        <v>12</v>
      </c>
      <c r="M473">
        <v>4</v>
      </c>
      <c r="N473">
        <v>3</v>
      </c>
      <c r="O473" t="s">
        <v>59</v>
      </c>
      <c r="P473" t="s">
        <v>37</v>
      </c>
      <c r="Q473">
        <v>165</v>
      </c>
      <c r="R473">
        <v>40</v>
      </c>
      <c r="S473">
        <v>24</v>
      </c>
      <c r="T473" t="s">
        <v>36</v>
      </c>
      <c r="U473" t="s">
        <v>37</v>
      </c>
      <c r="V473" t="s">
        <v>37</v>
      </c>
      <c r="W473" t="s">
        <v>38</v>
      </c>
      <c r="X473">
        <v>2026</v>
      </c>
      <c r="Y473" t="s">
        <v>39</v>
      </c>
      <c r="Z473" t="s">
        <v>104</v>
      </c>
      <c r="AA473" t="s">
        <v>105</v>
      </c>
    </row>
    <row r="474" spans="1:27" x14ac:dyDescent="0.3">
      <c r="A474" t="s">
        <v>593</v>
      </c>
      <c r="B474" t="s">
        <v>28</v>
      </c>
      <c r="C474">
        <v>21</v>
      </c>
      <c r="D474" t="s">
        <v>85</v>
      </c>
      <c r="E474" t="s">
        <v>159</v>
      </c>
      <c r="F474" t="s">
        <v>96</v>
      </c>
      <c r="G474">
        <v>146840</v>
      </c>
      <c r="H474" s="1">
        <v>45806</v>
      </c>
      <c r="I474" t="s">
        <v>57</v>
      </c>
      <c r="J474" t="s">
        <v>118</v>
      </c>
      <c r="K474" t="s">
        <v>34</v>
      </c>
      <c r="L474">
        <v>12</v>
      </c>
      <c r="M474">
        <v>2</v>
      </c>
      <c r="N474">
        <v>1</v>
      </c>
      <c r="O474" t="s">
        <v>59</v>
      </c>
      <c r="P474" t="s">
        <v>36</v>
      </c>
      <c r="Q474">
        <v>158</v>
      </c>
      <c r="R474">
        <v>13</v>
      </c>
      <c r="S474">
        <v>18</v>
      </c>
      <c r="T474" t="s">
        <v>36</v>
      </c>
      <c r="U474" t="s">
        <v>36</v>
      </c>
      <c r="V474" t="s">
        <v>36</v>
      </c>
      <c r="W474" t="s">
        <v>60</v>
      </c>
      <c r="X474">
        <v>2025</v>
      </c>
      <c r="Y474" t="s">
        <v>74</v>
      </c>
      <c r="Z474" t="s">
        <v>104</v>
      </c>
      <c r="AA474" t="s">
        <v>105</v>
      </c>
    </row>
    <row r="475" spans="1:27" x14ac:dyDescent="0.3">
      <c r="A475" t="s">
        <v>594</v>
      </c>
      <c r="B475" t="s">
        <v>28</v>
      </c>
      <c r="C475">
        <v>41</v>
      </c>
      <c r="D475" t="s">
        <v>54</v>
      </c>
      <c r="E475" t="s">
        <v>111</v>
      </c>
      <c r="F475" t="s">
        <v>31</v>
      </c>
      <c r="G475">
        <v>42174</v>
      </c>
      <c r="H475" s="1">
        <v>45297</v>
      </c>
      <c r="I475" t="s">
        <v>57</v>
      </c>
      <c r="J475" t="s">
        <v>67</v>
      </c>
      <c r="K475" t="s">
        <v>58</v>
      </c>
      <c r="L475">
        <v>6</v>
      </c>
      <c r="M475">
        <v>3</v>
      </c>
      <c r="N475">
        <v>1</v>
      </c>
      <c r="O475" t="s">
        <v>35</v>
      </c>
      <c r="P475" t="s">
        <v>37</v>
      </c>
      <c r="Q475">
        <v>166</v>
      </c>
      <c r="R475">
        <v>20</v>
      </c>
      <c r="S475">
        <v>18</v>
      </c>
      <c r="T475" t="s">
        <v>36</v>
      </c>
      <c r="U475" t="s">
        <v>36</v>
      </c>
      <c r="V475" t="s">
        <v>36</v>
      </c>
      <c r="W475" t="s">
        <v>60</v>
      </c>
      <c r="X475">
        <v>2024</v>
      </c>
      <c r="Y475" t="s">
        <v>94</v>
      </c>
      <c r="Z475" t="s">
        <v>70</v>
      </c>
      <c r="AA475" t="s">
        <v>41</v>
      </c>
    </row>
    <row r="476" spans="1:27" x14ac:dyDescent="0.3">
      <c r="A476" t="s">
        <v>595</v>
      </c>
      <c r="B476" t="s">
        <v>28</v>
      </c>
      <c r="C476">
        <v>43</v>
      </c>
      <c r="D476" t="s">
        <v>77</v>
      </c>
      <c r="E476" t="s">
        <v>182</v>
      </c>
      <c r="F476" t="s">
        <v>31</v>
      </c>
      <c r="G476">
        <v>51850</v>
      </c>
      <c r="H476" s="1">
        <v>45593</v>
      </c>
      <c r="I476" t="s">
        <v>98</v>
      </c>
      <c r="J476" t="s">
        <v>91</v>
      </c>
      <c r="K476" t="s">
        <v>34</v>
      </c>
      <c r="L476">
        <v>2</v>
      </c>
      <c r="M476">
        <v>3</v>
      </c>
      <c r="N476">
        <v>5</v>
      </c>
      <c r="O476" t="s">
        <v>68</v>
      </c>
      <c r="P476" t="s">
        <v>36</v>
      </c>
      <c r="Q476">
        <v>167</v>
      </c>
      <c r="R476">
        <v>17</v>
      </c>
      <c r="S476">
        <v>23</v>
      </c>
      <c r="T476" t="s">
        <v>37</v>
      </c>
      <c r="U476" t="s">
        <v>36</v>
      </c>
      <c r="V476" t="s">
        <v>36</v>
      </c>
      <c r="W476" t="s">
        <v>60</v>
      </c>
      <c r="X476">
        <v>2024</v>
      </c>
      <c r="Y476" t="s">
        <v>83</v>
      </c>
      <c r="Z476" t="s">
        <v>70</v>
      </c>
      <c r="AA476" t="s">
        <v>41</v>
      </c>
    </row>
    <row r="477" spans="1:27" x14ac:dyDescent="0.3">
      <c r="A477" t="s">
        <v>596</v>
      </c>
      <c r="B477" t="s">
        <v>28</v>
      </c>
      <c r="C477">
        <v>30</v>
      </c>
      <c r="D477" t="s">
        <v>44</v>
      </c>
      <c r="E477" t="s">
        <v>115</v>
      </c>
      <c r="F477" t="s">
        <v>46</v>
      </c>
      <c r="G477">
        <v>79104</v>
      </c>
      <c r="H477" s="1">
        <v>45932</v>
      </c>
      <c r="I477" t="s">
        <v>98</v>
      </c>
      <c r="J477" t="s">
        <v>118</v>
      </c>
      <c r="K477" t="s">
        <v>58</v>
      </c>
      <c r="L477">
        <v>7</v>
      </c>
      <c r="M477">
        <v>5</v>
      </c>
      <c r="N477">
        <v>2</v>
      </c>
      <c r="O477" t="s">
        <v>50</v>
      </c>
      <c r="P477" t="s">
        <v>36</v>
      </c>
      <c r="Q477">
        <v>195</v>
      </c>
      <c r="R477">
        <v>38</v>
      </c>
      <c r="S477">
        <v>14</v>
      </c>
      <c r="T477" t="s">
        <v>36</v>
      </c>
      <c r="U477" t="s">
        <v>36</v>
      </c>
      <c r="V477" t="s">
        <v>37</v>
      </c>
      <c r="W477" t="s">
        <v>38</v>
      </c>
      <c r="X477">
        <v>2025</v>
      </c>
      <c r="Y477" t="s">
        <v>83</v>
      </c>
      <c r="Z477" t="s">
        <v>75</v>
      </c>
      <c r="AA477" t="s">
        <v>52</v>
      </c>
    </row>
    <row r="478" spans="1:27" x14ac:dyDescent="0.3">
      <c r="A478" t="s">
        <v>597</v>
      </c>
      <c r="B478" t="s">
        <v>28</v>
      </c>
      <c r="C478">
        <v>36</v>
      </c>
      <c r="D478" t="s">
        <v>77</v>
      </c>
      <c r="E478" t="s">
        <v>133</v>
      </c>
      <c r="F478" t="s">
        <v>56</v>
      </c>
      <c r="G478">
        <v>36328</v>
      </c>
      <c r="H478" s="1">
        <v>44052</v>
      </c>
      <c r="I478" t="s">
        <v>32</v>
      </c>
      <c r="J478" t="s">
        <v>91</v>
      </c>
      <c r="K478" t="s">
        <v>34</v>
      </c>
      <c r="L478">
        <v>3</v>
      </c>
      <c r="M478">
        <v>5</v>
      </c>
      <c r="N478">
        <v>2</v>
      </c>
      <c r="O478" t="s">
        <v>68</v>
      </c>
      <c r="P478" t="s">
        <v>37</v>
      </c>
      <c r="Q478">
        <v>230</v>
      </c>
      <c r="R478">
        <v>58</v>
      </c>
      <c r="S478">
        <v>28</v>
      </c>
      <c r="T478" t="s">
        <v>37</v>
      </c>
      <c r="U478" t="s">
        <v>36</v>
      </c>
      <c r="V478" t="s">
        <v>36</v>
      </c>
      <c r="W478" t="s">
        <v>60</v>
      </c>
      <c r="X478">
        <v>2020</v>
      </c>
      <c r="Y478" t="s">
        <v>128</v>
      </c>
      <c r="Z478" t="s">
        <v>62</v>
      </c>
      <c r="AA478" t="s">
        <v>63</v>
      </c>
    </row>
    <row r="479" spans="1:27" x14ac:dyDescent="0.3">
      <c r="A479" t="s">
        <v>598</v>
      </c>
      <c r="B479" t="s">
        <v>43</v>
      </c>
      <c r="C479">
        <v>34</v>
      </c>
      <c r="D479" t="s">
        <v>77</v>
      </c>
      <c r="E479" t="s">
        <v>182</v>
      </c>
      <c r="F479" t="s">
        <v>31</v>
      </c>
      <c r="G479">
        <v>44540</v>
      </c>
      <c r="H479" s="1">
        <v>43976</v>
      </c>
      <c r="I479" t="s">
        <v>57</v>
      </c>
      <c r="J479" t="s">
        <v>91</v>
      </c>
      <c r="K479" t="s">
        <v>49</v>
      </c>
      <c r="L479">
        <v>4</v>
      </c>
      <c r="M479">
        <v>5</v>
      </c>
      <c r="N479">
        <v>1</v>
      </c>
      <c r="O479" t="s">
        <v>50</v>
      </c>
      <c r="P479" t="s">
        <v>36</v>
      </c>
      <c r="Q479">
        <v>220</v>
      </c>
      <c r="R479">
        <v>23</v>
      </c>
      <c r="S479">
        <v>29</v>
      </c>
      <c r="T479" t="s">
        <v>37</v>
      </c>
      <c r="U479" t="s">
        <v>36</v>
      </c>
      <c r="V479" t="s">
        <v>37</v>
      </c>
      <c r="W479" t="s">
        <v>38</v>
      </c>
      <c r="X479">
        <v>2020</v>
      </c>
      <c r="Y479" t="s">
        <v>74</v>
      </c>
      <c r="Z479" t="s">
        <v>40</v>
      </c>
      <c r="AA479" t="s">
        <v>41</v>
      </c>
    </row>
    <row r="480" spans="1:27" x14ac:dyDescent="0.3">
      <c r="A480" t="s">
        <v>599</v>
      </c>
      <c r="B480" t="s">
        <v>43</v>
      </c>
      <c r="C480">
        <v>53</v>
      </c>
      <c r="D480" t="s">
        <v>29</v>
      </c>
      <c r="E480" t="s">
        <v>103</v>
      </c>
      <c r="F480" t="s">
        <v>96</v>
      </c>
      <c r="G480">
        <v>119127</v>
      </c>
      <c r="H480" s="1">
        <v>43896</v>
      </c>
      <c r="I480" t="s">
        <v>47</v>
      </c>
      <c r="J480" t="s">
        <v>48</v>
      </c>
      <c r="K480" t="s">
        <v>34</v>
      </c>
      <c r="L480">
        <v>14</v>
      </c>
      <c r="M480">
        <v>1</v>
      </c>
      <c r="N480">
        <v>2</v>
      </c>
      <c r="O480" t="s">
        <v>50</v>
      </c>
      <c r="P480" t="s">
        <v>36</v>
      </c>
      <c r="Q480">
        <v>243</v>
      </c>
      <c r="R480">
        <v>78</v>
      </c>
      <c r="S480">
        <v>29</v>
      </c>
      <c r="T480" t="s">
        <v>36</v>
      </c>
      <c r="U480" t="s">
        <v>36</v>
      </c>
      <c r="V480" t="s">
        <v>36</v>
      </c>
      <c r="W480" t="s">
        <v>60</v>
      </c>
      <c r="X480">
        <v>2020</v>
      </c>
      <c r="Y480" t="s">
        <v>142</v>
      </c>
      <c r="Z480" t="s">
        <v>300</v>
      </c>
      <c r="AA480" t="s">
        <v>87</v>
      </c>
    </row>
    <row r="481" spans="1:27" x14ac:dyDescent="0.3">
      <c r="A481" t="s">
        <v>600</v>
      </c>
      <c r="B481" t="s">
        <v>28</v>
      </c>
      <c r="C481">
        <v>39</v>
      </c>
      <c r="D481" t="s">
        <v>29</v>
      </c>
      <c r="E481" t="s">
        <v>93</v>
      </c>
      <c r="F481" t="s">
        <v>46</v>
      </c>
      <c r="G481">
        <v>90530</v>
      </c>
      <c r="H481" s="1">
        <v>44879</v>
      </c>
      <c r="I481" t="s">
        <v>32</v>
      </c>
      <c r="J481" t="s">
        <v>67</v>
      </c>
      <c r="K481" t="s">
        <v>58</v>
      </c>
      <c r="L481">
        <v>7</v>
      </c>
      <c r="M481">
        <v>5</v>
      </c>
      <c r="N481">
        <v>5</v>
      </c>
      <c r="O481" t="s">
        <v>68</v>
      </c>
      <c r="P481" t="s">
        <v>36</v>
      </c>
      <c r="Q481">
        <v>258</v>
      </c>
      <c r="R481">
        <v>21</v>
      </c>
      <c r="S481">
        <v>6</v>
      </c>
      <c r="T481" t="s">
        <v>36</v>
      </c>
      <c r="U481" t="s">
        <v>36</v>
      </c>
      <c r="V481" t="s">
        <v>36</v>
      </c>
      <c r="W481" t="s">
        <v>60</v>
      </c>
      <c r="X481">
        <v>2022</v>
      </c>
      <c r="Y481" t="s">
        <v>123</v>
      </c>
      <c r="Z481" t="s">
        <v>62</v>
      </c>
      <c r="AA481" t="s">
        <v>87</v>
      </c>
    </row>
    <row r="482" spans="1:27" x14ac:dyDescent="0.3">
      <c r="A482" t="s">
        <v>601</v>
      </c>
      <c r="B482" t="s">
        <v>28</v>
      </c>
      <c r="C482">
        <v>31</v>
      </c>
      <c r="D482" t="s">
        <v>65</v>
      </c>
      <c r="E482" t="s">
        <v>147</v>
      </c>
      <c r="F482" t="s">
        <v>96</v>
      </c>
      <c r="G482">
        <v>150003</v>
      </c>
      <c r="H482" s="1">
        <v>45263</v>
      </c>
      <c r="I482" t="s">
        <v>98</v>
      </c>
      <c r="J482" t="s">
        <v>33</v>
      </c>
      <c r="K482" t="s">
        <v>49</v>
      </c>
      <c r="L482">
        <v>10</v>
      </c>
      <c r="M482">
        <v>3</v>
      </c>
      <c r="N482">
        <v>4</v>
      </c>
      <c r="O482" t="s">
        <v>35</v>
      </c>
      <c r="P482" t="s">
        <v>36</v>
      </c>
      <c r="Q482">
        <v>186</v>
      </c>
      <c r="R482">
        <v>44</v>
      </c>
      <c r="S482">
        <v>15</v>
      </c>
      <c r="T482" t="s">
        <v>36</v>
      </c>
      <c r="U482" t="s">
        <v>36</v>
      </c>
      <c r="V482" t="s">
        <v>36</v>
      </c>
      <c r="W482" t="s">
        <v>60</v>
      </c>
      <c r="X482">
        <v>2023</v>
      </c>
      <c r="Y482" t="s">
        <v>116</v>
      </c>
      <c r="Z482" t="s">
        <v>40</v>
      </c>
      <c r="AA482" t="s">
        <v>105</v>
      </c>
    </row>
    <row r="483" spans="1:27" x14ac:dyDescent="0.3">
      <c r="A483" t="s">
        <v>602</v>
      </c>
      <c r="B483" t="s">
        <v>28</v>
      </c>
      <c r="C483">
        <v>25</v>
      </c>
      <c r="D483" t="s">
        <v>54</v>
      </c>
      <c r="E483" t="s">
        <v>111</v>
      </c>
      <c r="F483" t="s">
        <v>56</v>
      </c>
      <c r="G483">
        <v>33410</v>
      </c>
      <c r="H483" s="1">
        <v>43812</v>
      </c>
      <c r="I483" t="s">
        <v>47</v>
      </c>
      <c r="J483" t="s">
        <v>73</v>
      </c>
      <c r="K483" t="s">
        <v>49</v>
      </c>
      <c r="L483">
        <v>0</v>
      </c>
      <c r="M483">
        <v>3</v>
      </c>
      <c r="N483">
        <v>5</v>
      </c>
      <c r="O483" t="s">
        <v>59</v>
      </c>
      <c r="P483" t="s">
        <v>36</v>
      </c>
      <c r="Q483">
        <v>253</v>
      </c>
      <c r="R483">
        <v>70</v>
      </c>
      <c r="S483">
        <v>23</v>
      </c>
      <c r="T483" t="s">
        <v>36</v>
      </c>
      <c r="U483" t="s">
        <v>37</v>
      </c>
      <c r="V483" t="s">
        <v>36</v>
      </c>
      <c r="W483" t="s">
        <v>60</v>
      </c>
      <c r="X483">
        <v>2019</v>
      </c>
      <c r="Y483" t="s">
        <v>116</v>
      </c>
      <c r="Z483" t="s">
        <v>104</v>
      </c>
      <c r="AA483" t="s">
        <v>63</v>
      </c>
    </row>
    <row r="484" spans="1:27" x14ac:dyDescent="0.3">
      <c r="A484" t="s">
        <v>603</v>
      </c>
      <c r="B484" t="s">
        <v>43</v>
      </c>
      <c r="C484">
        <v>21</v>
      </c>
      <c r="D484" t="s">
        <v>29</v>
      </c>
      <c r="E484" t="s">
        <v>93</v>
      </c>
      <c r="F484" t="s">
        <v>56</v>
      </c>
      <c r="G484">
        <v>41925</v>
      </c>
      <c r="H484" s="1">
        <v>44466</v>
      </c>
      <c r="I484" t="s">
        <v>98</v>
      </c>
      <c r="J484" t="s">
        <v>33</v>
      </c>
      <c r="K484" t="s">
        <v>58</v>
      </c>
      <c r="L484">
        <v>2</v>
      </c>
      <c r="M484">
        <v>5</v>
      </c>
      <c r="N484">
        <v>5</v>
      </c>
      <c r="O484" t="s">
        <v>35</v>
      </c>
      <c r="P484" t="s">
        <v>37</v>
      </c>
      <c r="Q484">
        <v>227</v>
      </c>
      <c r="R484">
        <v>51</v>
      </c>
      <c r="S484">
        <v>28</v>
      </c>
      <c r="T484" t="s">
        <v>37</v>
      </c>
      <c r="U484" t="s">
        <v>36</v>
      </c>
      <c r="V484" t="s">
        <v>36</v>
      </c>
      <c r="W484" t="s">
        <v>60</v>
      </c>
      <c r="X484">
        <v>2021</v>
      </c>
      <c r="Y484" t="s">
        <v>51</v>
      </c>
      <c r="Z484" t="s">
        <v>104</v>
      </c>
      <c r="AA484" t="s">
        <v>41</v>
      </c>
    </row>
    <row r="485" spans="1:27" x14ac:dyDescent="0.3">
      <c r="A485" t="s">
        <v>604</v>
      </c>
      <c r="B485" t="s">
        <v>28</v>
      </c>
      <c r="C485">
        <v>33</v>
      </c>
      <c r="D485" t="s">
        <v>77</v>
      </c>
      <c r="E485" t="s">
        <v>133</v>
      </c>
      <c r="F485" t="s">
        <v>96</v>
      </c>
      <c r="G485">
        <v>112345</v>
      </c>
      <c r="H485" s="1">
        <v>43929</v>
      </c>
      <c r="I485" t="s">
        <v>47</v>
      </c>
      <c r="J485" t="s">
        <v>67</v>
      </c>
      <c r="K485" t="s">
        <v>49</v>
      </c>
      <c r="L485">
        <v>13</v>
      </c>
      <c r="M485">
        <v>3</v>
      </c>
      <c r="N485">
        <v>2</v>
      </c>
      <c r="O485" t="s">
        <v>68</v>
      </c>
      <c r="P485" t="s">
        <v>36</v>
      </c>
      <c r="Q485">
        <v>258</v>
      </c>
      <c r="R485">
        <v>5</v>
      </c>
      <c r="S485">
        <v>25</v>
      </c>
      <c r="T485" t="s">
        <v>36</v>
      </c>
      <c r="U485" t="s">
        <v>37</v>
      </c>
      <c r="V485" t="s">
        <v>36</v>
      </c>
      <c r="W485" t="s">
        <v>126</v>
      </c>
      <c r="X485">
        <v>2020</v>
      </c>
      <c r="Y485" t="s">
        <v>69</v>
      </c>
      <c r="Z485" t="s">
        <v>40</v>
      </c>
      <c r="AA485" t="s">
        <v>87</v>
      </c>
    </row>
    <row r="486" spans="1:27" x14ac:dyDescent="0.3">
      <c r="A486" t="s">
        <v>605</v>
      </c>
      <c r="B486" t="s">
        <v>28</v>
      </c>
      <c r="C486">
        <v>26</v>
      </c>
      <c r="D486" t="s">
        <v>81</v>
      </c>
      <c r="E486" t="s">
        <v>201</v>
      </c>
      <c r="F486" t="s">
        <v>96</v>
      </c>
      <c r="G486">
        <v>153998</v>
      </c>
      <c r="H486" s="1">
        <v>44923</v>
      </c>
      <c r="I486" t="s">
        <v>57</v>
      </c>
      <c r="J486" t="s">
        <v>91</v>
      </c>
      <c r="K486" t="s">
        <v>34</v>
      </c>
      <c r="L486">
        <v>8</v>
      </c>
      <c r="M486">
        <v>1</v>
      </c>
      <c r="N486">
        <v>5</v>
      </c>
      <c r="O486" t="s">
        <v>68</v>
      </c>
      <c r="P486" t="s">
        <v>36</v>
      </c>
      <c r="Q486">
        <v>192</v>
      </c>
      <c r="R486">
        <v>56</v>
      </c>
      <c r="S486">
        <v>13</v>
      </c>
      <c r="T486" t="s">
        <v>37</v>
      </c>
      <c r="U486" t="s">
        <v>36</v>
      </c>
      <c r="V486" t="s">
        <v>36</v>
      </c>
      <c r="W486" t="s">
        <v>60</v>
      </c>
      <c r="X486">
        <v>2022</v>
      </c>
      <c r="Y486" t="s">
        <v>116</v>
      </c>
      <c r="Z486" t="s">
        <v>75</v>
      </c>
      <c r="AA486" t="s">
        <v>105</v>
      </c>
    </row>
    <row r="487" spans="1:27" x14ac:dyDescent="0.3">
      <c r="A487" t="s">
        <v>606</v>
      </c>
      <c r="B487" t="s">
        <v>43</v>
      </c>
      <c r="C487">
        <v>22</v>
      </c>
      <c r="D487" t="s">
        <v>89</v>
      </c>
      <c r="E487" t="s">
        <v>90</v>
      </c>
      <c r="F487" t="s">
        <v>56</v>
      </c>
      <c r="G487">
        <v>44853</v>
      </c>
      <c r="H487" s="1">
        <v>45148</v>
      </c>
      <c r="I487" t="s">
        <v>47</v>
      </c>
      <c r="J487" t="s">
        <v>91</v>
      </c>
      <c r="K487" t="s">
        <v>49</v>
      </c>
      <c r="L487">
        <v>1</v>
      </c>
      <c r="M487">
        <v>1</v>
      </c>
      <c r="N487">
        <v>4</v>
      </c>
      <c r="O487" t="s">
        <v>50</v>
      </c>
      <c r="P487" t="s">
        <v>37</v>
      </c>
      <c r="Q487">
        <v>169</v>
      </c>
      <c r="R487">
        <v>59</v>
      </c>
      <c r="S487">
        <v>30</v>
      </c>
      <c r="T487" t="s">
        <v>37</v>
      </c>
      <c r="U487" t="s">
        <v>36</v>
      </c>
      <c r="V487" t="s">
        <v>36</v>
      </c>
      <c r="W487" t="s">
        <v>60</v>
      </c>
      <c r="X487">
        <v>2023</v>
      </c>
      <c r="Y487" t="s">
        <v>128</v>
      </c>
      <c r="Z487" t="s">
        <v>104</v>
      </c>
      <c r="AA487" t="s">
        <v>41</v>
      </c>
    </row>
    <row r="488" spans="1:27" x14ac:dyDescent="0.3">
      <c r="A488" t="s">
        <v>607</v>
      </c>
      <c r="B488" t="s">
        <v>28</v>
      </c>
      <c r="C488">
        <v>27</v>
      </c>
      <c r="D488" t="s">
        <v>89</v>
      </c>
      <c r="E488" t="s">
        <v>130</v>
      </c>
      <c r="F488" t="s">
        <v>31</v>
      </c>
      <c r="G488">
        <v>46583</v>
      </c>
      <c r="H488" s="1">
        <v>45243</v>
      </c>
      <c r="I488" t="s">
        <v>57</v>
      </c>
      <c r="J488" t="s">
        <v>73</v>
      </c>
      <c r="K488" t="s">
        <v>49</v>
      </c>
      <c r="L488">
        <v>4</v>
      </c>
      <c r="M488">
        <v>1</v>
      </c>
      <c r="N488">
        <v>3</v>
      </c>
      <c r="O488" t="s">
        <v>59</v>
      </c>
      <c r="P488" t="s">
        <v>36</v>
      </c>
      <c r="Q488">
        <v>175</v>
      </c>
      <c r="R488">
        <v>47</v>
      </c>
      <c r="S488">
        <v>30</v>
      </c>
      <c r="T488" t="s">
        <v>37</v>
      </c>
      <c r="U488" t="s">
        <v>37</v>
      </c>
      <c r="V488" t="s">
        <v>36</v>
      </c>
      <c r="W488" t="s">
        <v>60</v>
      </c>
      <c r="X488">
        <v>2023</v>
      </c>
      <c r="Y488" t="s">
        <v>123</v>
      </c>
      <c r="Z488" t="s">
        <v>75</v>
      </c>
      <c r="AA488" t="s">
        <v>41</v>
      </c>
    </row>
    <row r="489" spans="1:27" x14ac:dyDescent="0.3">
      <c r="A489" t="s">
        <v>608</v>
      </c>
      <c r="B489" t="s">
        <v>28</v>
      </c>
      <c r="C489">
        <v>24</v>
      </c>
      <c r="D489" t="s">
        <v>89</v>
      </c>
      <c r="E489" t="s">
        <v>144</v>
      </c>
      <c r="F489" t="s">
        <v>56</v>
      </c>
      <c r="G489">
        <v>41798</v>
      </c>
      <c r="H489" s="1">
        <v>45719</v>
      </c>
      <c r="I489" t="s">
        <v>47</v>
      </c>
      <c r="J489" t="s">
        <v>73</v>
      </c>
      <c r="K489" t="s">
        <v>58</v>
      </c>
      <c r="L489">
        <v>3</v>
      </c>
      <c r="M489">
        <v>4</v>
      </c>
      <c r="N489">
        <v>2</v>
      </c>
      <c r="O489" t="s">
        <v>35</v>
      </c>
      <c r="P489" t="s">
        <v>36</v>
      </c>
      <c r="Q489">
        <v>246</v>
      </c>
      <c r="R489">
        <v>7</v>
      </c>
      <c r="S489">
        <v>6</v>
      </c>
      <c r="T489" t="s">
        <v>37</v>
      </c>
      <c r="U489" t="s">
        <v>36</v>
      </c>
      <c r="V489" t="s">
        <v>36</v>
      </c>
      <c r="W489" t="s">
        <v>60</v>
      </c>
      <c r="X489">
        <v>2025</v>
      </c>
      <c r="Y489" t="s">
        <v>142</v>
      </c>
      <c r="Z489" t="s">
        <v>104</v>
      </c>
      <c r="AA489" t="s">
        <v>41</v>
      </c>
    </row>
    <row r="490" spans="1:27" x14ac:dyDescent="0.3">
      <c r="A490" t="s">
        <v>609</v>
      </c>
      <c r="B490" t="s">
        <v>28</v>
      </c>
      <c r="C490">
        <v>43</v>
      </c>
      <c r="D490" t="s">
        <v>44</v>
      </c>
      <c r="E490" t="s">
        <v>219</v>
      </c>
      <c r="F490" t="s">
        <v>46</v>
      </c>
      <c r="G490">
        <v>93158</v>
      </c>
      <c r="H490" s="1">
        <v>43498</v>
      </c>
      <c r="I490" t="s">
        <v>47</v>
      </c>
      <c r="J490" t="s">
        <v>33</v>
      </c>
      <c r="K490" t="s">
        <v>34</v>
      </c>
      <c r="L490">
        <v>14</v>
      </c>
      <c r="M490">
        <v>4</v>
      </c>
      <c r="N490">
        <v>4</v>
      </c>
      <c r="O490" t="s">
        <v>68</v>
      </c>
      <c r="P490" t="s">
        <v>36</v>
      </c>
      <c r="Q490">
        <v>186</v>
      </c>
      <c r="R490">
        <v>70</v>
      </c>
      <c r="S490">
        <v>7</v>
      </c>
      <c r="T490" t="s">
        <v>37</v>
      </c>
      <c r="U490" t="s">
        <v>36</v>
      </c>
      <c r="V490" t="s">
        <v>37</v>
      </c>
      <c r="W490" t="s">
        <v>38</v>
      </c>
      <c r="X490">
        <v>2019</v>
      </c>
      <c r="Y490" t="s">
        <v>39</v>
      </c>
      <c r="Z490" t="s">
        <v>70</v>
      </c>
      <c r="AA490" t="s">
        <v>87</v>
      </c>
    </row>
    <row r="491" spans="1:27" x14ac:dyDescent="0.3">
      <c r="A491" t="s">
        <v>610</v>
      </c>
      <c r="B491" t="s">
        <v>43</v>
      </c>
      <c r="C491">
        <v>38</v>
      </c>
      <c r="D491" t="s">
        <v>54</v>
      </c>
      <c r="E491" t="s">
        <v>207</v>
      </c>
      <c r="F491" t="s">
        <v>31</v>
      </c>
      <c r="G491">
        <v>63834</v>
      </c>
      <c r="H491" s="1">
        <v>44278</v>
      </c>
      <c r="I491" t="s">
        <v>98</v>
      </c>
      <c r="J491" t="s">
        <v>73</v>
      </c>
      <c r="K491" t="s">
        <v>58</v>
      </c>
      <c r="L491">
        <v>5</v>
      </c>
      <c r="M491">
        <v>4</v>
      </c>
      <c r="N491">
        <v>1</v>
      </c>
      <c r="O491" t="s">
        <v>35</v>
      </c>
      <c r="P491" t="s">
        <v>36</v>
      </c>
      <c r="Q491">
        <v>243</v>
      </c>
      <c r="R491">
        <v>21</v>
      </c>
      <c r="S491">
        <v>14</v>
      </c>
      <c r="T491" t="s">
        <v>37</v>
      </c>
      <c r="U491" t="s">
        <v>36</v>
      </c>
      <c r="V491" t="s">
        <v>36</v>
      </c>
      <c r="W491" t="s">
        <v>60</v>
      </c>
      <c r="X491">
        <v>2021</v>
      </c>
      <c r="Y491" t="s">
        <v>142</v>
      </c>
      <c r="Z491" t="s">
        <v>62</v>
      </c>
      <c r="AA491" t="s">
        <v>52</v>
      </c>
    </row>
    <row r="492" spans="1:27" x14ac:dyDescent="0.3">
      <c r="A492" t="s">
        <v>611</v>
      </c>
      <c r="B492" t="s">
        <v>28</v>
      </c>
      <c r="C492">
        <v>31</v>
      </c>
      <c r="D492" t="s">
        <v>85</v>
      </c>
      <c r="E492" t="s">
        <v>159</v>
      </c>
      <c r="F492" t="s">
        <v>56</v>
      </c>
      <c r="G492">
        <v>34541</v>
      </c>
      <c r="H492" s="1">
        <v>43674</v>
      </c>
      <c r="I492" t="s">
        <v>47</v>
      </c>
      <c r="J492" t="s">
        <v>101</v>
      </c>
      <c r="K492" t="s">
        <v>58</v>
      </c>
      <c r="L492">
        <v>0</v>
      </c>
      <c r="M492">
        <v>4</v>
      </c>
      <c r="N492">
        <v>4</v>
      </c>
      <c r="O492" t="s">
        <v>59</v>
      </c>
      <c r="P492" t="s">
        <v>36</v>
      </c>
      <c r="Q492">
        <v>189</v>
      </c>
      <c r="R492">
        <v>11</v>
      </c>
      <c r="S492">
        <v>11</v>
      </c>
      <c r="T492" t="s">
        <v>37</v>
      </c>
      <c r="U492" t="s">
        <v>36</v>
      </c>
      <c r="V492" t="s">
        <v>36</v>
      </c>
      <c r="W492" t="s">
        <v>60</v>
      </c>
      <c r="X492">
        <v>2019</v>
      </c>
      <c r="Y492" t="s">
        <v>79</v>
      </c>
      <c r="Z492" t="s">
        <v>40</v>
      </c>
      <c r="AA492" t="s">
        <v>63</v>
      </c>
    </row>
    <row r="493" spans="1:27" x14ac:dyDescent="0.3">
      <c r="A493" t="s">
        <v>612</v>
      </c>
      <c r="B493" t="s">
        <v>43</v>
      </c>
      <c r="C493">
        <v>42</v>
      </c>
      <c r="D493" t="s">
        <v>81</v>
      </c>
      <c r="E493" t="s">
        <v>82</v>
      </c>
      <c r="F493" t="s">
        <v>96</v>
      </c>
      <c r="G493">
        <v>122370</v>
      </c>
      <c r="H493" s="1">
        <v>43660</v>
      </c>
      <c r="I493" t="s">
        <v>47</v>
      </c>
      <c r="J493" t="s">
        <v>67</v>
      </c>
      <c r="K493" t="s">
        <v>34</v>
      </c>
      <c r="L493">
        <v>13</v>
      </c>
      <c r="M493">
        <v>2</v>
      </c>
      <c r="N493">
        <v>1</v>
      </c>
      <c r="O493" t="s">
        <v>35</v>
      </c>
      <c r="P493" t="s">
        <v>37</v>
      </c>
      <c r="Q493">
        <v>156</v>
      </c>
      <c r="R493">
        <v>60</v>
      </c>
      <c r="S493">
        <v>7</v>
      </c>
      <c r="T493" t="s">
        <v>36</v>
      </c>
      <c r="U493" t="s">
        <v>36</v>
      </c>
      <c r="V493" t="s">
        <v>37</v>
      </c>
      <c r="W493" t="s">
        <v>38</v>
      </c>
      <c r="X493">
        <v>2019</v>
      </c>
      <c r="Y493" t="s">
        <v>79</v>
      </c>
      <c r="Z493" t="s">
        <v>70</v>
      </c>
      <c r="AA493" t="s">
        <v>87</v>
      </c>
    </row>
    <row r="494" spans="1:27" x14ac:dyDescent="0.3">
      <c r="A494" t="s">
        <v>613</v>
      </c>
      <c r="B494" t="s">
        <v>43</v>
      </c>
      <c r="C494">
        <v>32</v>
      </c>
      <c r="D494" t="s">
        <v>65</v>
      </c>
      <c r="E494" t="s">
        <v>66</v>
      </c>
      <c r="F494" t="s">
        <v>46</v>
      </c>
      <c r="G494">
        <v>72309</v>
      </c>
      <c r="H494" s="1">
        <v>46206</v>
      </c>
      <c r="I494" t="s">
        <v>107</v>
      </c>
      <c r="J494" t="s">
        <v>91</v>
      </c>
      <c r="K494" t="s">
        <v>58</v>
      </c>
      <c r="L494">
        <v>6</v>
      </c>
      <c r="M494">
        <v>1</v>
      </c>
      <c r="N494">
        <v>5</v>
      </c>
      <c r="O494" t="s">
        <v>50</v>
      </c>
      <c r="P494" t="s">
        <v>37</v>
      </c>
      <c r="Q494">
        <v>192</v>
      </c>
      <c r="R494">
        <v>31</v>
      </c>
      <c r="S494">
        <v>20</v>
      </c>
      <c r="T494" t="s">
        <v>36</v>
      </c>
      <c r="U494" t="s">
        <v>36</v>
      </c>
      <c r="V494" t="s">
        <v>36</v>
      </c>
      <c r="W494" t="s">
        <v>60</v>
      </c>
      <c r="X494">
        <v>2026</v>
      </c>
      <c r="Y494" t="s">
        <v>79</v>
      </c>
      <c r="Z494" t="s">
        <v>40</v>
      </c>
      <c r="AA494" t="s">
        <v>52</v>
      </c>
    </row>
    <row r="495" spans="1:27" x14ac:dyDescent="0.3">
      <c r="A495" t="s">
        <v>614</v>
      </c>
      <c r="B495" t="s">
        <v>28</v>
      </c>
      <c r="C495">
        <v>25</v>
      </c>
      <c r="D495" t="s">
        <v>85</v>
      </c>
      <c r="E495" t="s">
        <v>86</v>
      </c>
      <c r="F495" t="s">
        <v>56</v>
      </c>
      <c r="G495">
        <v>34240</v>
      </c>
      <c r="H495" s="1">
        <v>45291</v>
      </c>
      <c r="I495" t="s">
        <v>47</v>
      </c>
      <c r="J495" t="s">
        <v>33</v>
      </c>
      <c r="K495" t="s">
        <v>34</v>
      </c>
      <c r="L495">
        <v>1</v>
      </c>
      <c r="M495">
        <v>1</v>
      </c>
      <c r="N495">
        <v>1</v>
      </c>
      <c r="O495" t="s">
        <v>68</v>
      </c>
      <c r="P495" t="s">
        <v>36</v>
      </c>
      <c r="Q495">
        <v>229</v>
      </c>
      <c r="R495">
        <v>10</v>
      </c>
      <c r="S495">
        <v>6</v>
      </c>
      <c r="T495" t="s">
        <v>37</v>
      </c>
      <c r="U495" t="s">
        <v>36</v>
      </c>
      <c r="V495" t="s">
        <v>36</v>
      </c>
      <c r="W495" t="s">
        <v>126</v>
      </c>
      <c r="X495">
        <v>2023</v>
      </c>
      <c r="Y495" t="s">
        <v>116</v>
      </c>
      <c r="Z495" t="s">
        <v>104</v>
      </c>
      <c r="AA495" t="s">
        <v>63</v>
      </c>
    </row>
    <row r="496" spans="1:27" x14ac:dyDescent="0.3">
      <c r="A496" t="s">
        <v>615</v>
      </c>
      <c r="B496" t="s">
        <v>43</v>
      </c>
      <c r="C496">
        <v>42</v>
      </c>
      <c r="D496" t="s">
        <v>65</v>
      </c>
      <c r="E496" t="s">
        <v>66</v>
      </c>
      <c r="F496" t="s">
        <v>96</v>
      </c>
      <c r="G496">
        <v>105391</v>
      </c>
      <c r="H496" s="1">
        <v>43743</v>
      </c>
      <c r="I496" t="s">
        <v>107</v>
      </c>
      <c r="J496" t="s">
        <v>73</v>
      </c>
      <c r="K496" t="s">
        <v>49</v>
      </c>
      <c r="L496">
        <v>14</v>
      </c>
      <c r="M496">
        <v>4</v>
      </c>
      <c r="N496">
        <v>4</v>
      </c>
      <c r="O496" t="s">
        <v>35</v>
      </c>
      <c r="P496" t="s">
        <v>36</v>
      </c>
      <c r="Q496">
        <v>214</v>
      </c>
      <c r="R496">
        <v>77</v>
      </c>
      <c r="S496">
        <v>3</v>
      </c>
      <c r="T496" t="s">
        <v>36</v>
      </c>
      <c r="U496" t="s">
        <v>37</v>
      </c>
      <c r="V496" t="s">
        <v>36</v>
      </c>
      <c r="W496" t="s">
        <v>60</v>
      </c>
      <c r="X496">
        <v>2019</v>
      </c>
      <c r="Y496" t="s">
        <v>83</v>
      </c>
      <c r="Z496" t="s">
        <v>70</v>
      </c>
      <c r="AA496" t="s">
        <v>87</v>
      </c>
    </row>
    <row r="497" spans="1:27" x14ac:dyDescent="0.3">
      <c r="A497" t="s">
        <v>616</v>
      </c>
      <c r="B497" t="s">
        <v>43</v>
      </c>
      <c r="C497">
        <v>35</v>
      </c>
      <c r="D497" t="s">
        <v>89</v>
      </c>
      <c r="E497" t="s">
        <v>203</v>
      </c>
      <c r="F497" t="s">
        <v>31</v>
      </c>
      <c r="G497">
        <v>56344</v>
      </c>
      <c r="H497" s="1">
        <v>45039</v>
      </c>
      <c r="I497" t="s">
        <v>57</v>
      </c>
      <c r="J497" t="s">
        <v>73</v>
      </c>
      <c r="K497" t="s">
        <v>34</v>
      </c>
      <c r="L497">
        <v>6</v>
      </c>
      <c r="M497">
        <v>5</v>
      </c>
      <c r="N497">
        <v>4</v>
      </c>
      <c r="O497" t="s">
        <v>68</v>
      </c>
      <c r="P497" t="s">
        <v>36</v>
      </c>
      <c r="Q497">
        <v>227</v>
      </c>
      <c r="R497">
        <v>80</v>
      </c>
      <c r="S497">
        <v>24</v>
      </c>
      <c r="T497" t="s">
        <v>37</v>
      </c>
      <c r="U497" t="s">
        <v>36</v>
      </c>
      <c r="V497" t="s">
        <v>36</v>
      </c>
      <c r="W497" t="s">
        <v>126</v>
      </c>
      <c r="X497">
        <v>2023</v>
      </c>
      <c r="Y497" t="s">
        <v>69</v>
      </c>
      <c r="Z497" t="s">
        <v>40</v>
      </c>
      <c r="AA497" t="s">
        <v>41</v>
      </c>
    </row>
    <row r="498" spans="1:27" x14ac:dyDescent="0.3">
      <c r="A498" t="s">
        <v>617</v>
      </c>
      <c r="B498" t="s">
        <v>43</v>
      </c>
      <c r="C498">
        <v>24</v>
      </c>
      <c r="D498" t="s">
        <v>81</v>
      </c>
      <c r="E498" t="s">
        <v>113</v>
      </c>
      <c r="F498" t="s">
        <v>46</v>
      </c>
      <c r="G498">
        <v>82597</v>
      </c>
      <c r="H498" s="1">
        <v>43953</v>
      </c>
      <c r="I498" t="s">
        <v>32</v>
      </c>
      <c r="J498" t="s">
        <v>67</v>
      </c>
      <c r="K498" t="s">
        <v>58</v>
      </c>
      <c r="L498">
        <v>13</v>
      </c>
      <c r="M498">
        <v>2</v>
      </c>
      <c r="N498">
        <v>2</v>
      </c>
      <c r="O498" t="s">
        <v>50</v>
      </c>
      <c r="P498" t="s">
        <v>37</v>
      </c>
      <c r="Q498">
        <v>218</v>
      </c>
      <c r="R498">
        <v>11</v>
      </c>
      <c r="S498">
        <v>22</v>
      </c>
      <c r="T498" t="s">
        <v>37</v>
      </c>
      <c r="U498" t="s">
        <v>36</v>
      </c>
      <c r="V498" t="s">
        <v>36</v>
      </c>
      <c r="W498" t="s">
        <v>60</v>
      </c>
      <c r="X498">
        <v>2020</v>
      </c>
      <c r="Y498" t="s">
        <v>74</v>
      </c>
      <c r="Z498" t="s">
        <v>104</v>
      </c>
      <c r="AA498" t="s">
        <v>52</v>
      </c>
    </row>
    <row r="499" spans="1:27" x14ac:dyDescent="0.3">
      <c r="A499" t="s">
        <v>618</v>
      </c>
      <c r="B499" t="s">
        <v>28</v>
      </c>
      <c r="C499">
        <v>30</v>
      </c>
      <c r="D499" t="s">
        <v>29</v>
      </c>
      <c r="E499" t="s">
        <v>30</v>
      </c>
      <c r="F499" t="s">
        <v>46</v>
      </c>
      <c r="G499">
        <v>86270</v>
      </c>
      <c r="H499" s="1">
        <v>45715</v>
      </c>
      <c r="I499" t="s">
        <v>57</v>
      </c>
      <c r="J499" t="s">
        <v>99</v>
      </c>
      <c r="K499" t="s">
        <v>49</v>
      </c>
      <c r="L499">
        <v>6</v>
      </c>
      <c r="M499">
        <v>3</v>
      </c>
      <c r="N499">
        <v>2</v>
      </c>
      <c r="O499" t="s">
        <v>68</v>
      </c>
      <c r="P499" t="s">
        <v>36</v>
      </c>
      <c r="Q499">
        <v>228</v>
      </c>
      <c r="R499">
        <v>40</v>
      </c>
      <c r="S499">
        <v>7</v>
      </c>
      <c r="T499" t="s">
        <v>36</v>
      </c>
      <c r="U499" t="s">
        <v>36</v>
      </c>
      <c r="V499" t="s">
        <v>36</v>
      </c>
      <c r="W499" t="s">
        <v>60</v>
      </c>
      <c r="X499">
        <v>2025</v>
      </c>
      <c r="Y499" t="s">
        <v>39</v>
      </c>
      <c r="Z499" t="s">
        <v>75</v>
      </c>
      <c r="AA499" t="s">
        <v>52</v>
      </c>
    </row>
    <row r="500" spans="1:27" x14ac:dyDescent="0.3">
      <c r="A500" t="s">
        <v>619</v>
      </c>
      <c r="B500" t="s">
        <v>28</v>
      </c>
      <c r="C500">
        <v>25</v>
      </c>
      <c r="D500" t="s">
        <v>77</v>
      </c>
      <c r="E500" t="s">
        <v>78</v>
      </c>
      <c r="F500" t="s">
        <v>31</v>
      </c>
      <c r="G500">
        <v>68766</v>
      </c>
      <c r="H500" s="1">
        <v>44369</v>
      </c>
      <c r="I500" t="s">
        <v>32</v>
      </c>
      <c r="J500" t="s">
        <v>118</v>
      </c>
      <c r="K500" t="s">
        <v>49</v>
      </c>
      <c r="L500">
        <v>5</v>
      </c>
      <c r="M500">
        <v>3</v>
      </c>
      <c r="N500">
        <v>3</v>
      </c>
      <c r="O500" t="s">
        <v>68</v>
      </c>
      <c r="P500" t="s">
        <v>37</v>
      </c>
      <c r="Q500">
        <v>224</v>
      </c>
      <c r="R500">
        <v>66</v>
      </c>
      <c r="S500">
        <v>4</v>
      </c>
      <c r="T500" t="s">
        <v>36</v>
      </c>
      <c r="U500" t="s">
        <v>36</v>
      </c>
      <c r="V500" t="s">
        <v>37</v>
      </c>
      <c r="W500" t="s">
        <v>38</v>
      </c>
      <c r="X500">
        <v>2021</v>
      </c>
      <c r="Y500" t="s">
        <v>61</v>
      </c>
      <c r="Z500" t="s">
        <v>104</v>
      </c>
      <c r="AA500" t="s">
        <v>52</v>
      </c>
    </row>
    <row r="501" spans="1:27" x14ac:dyDescent="0.3">
      <c r="A501" t="s">
        <v>620</v>
      </c>
      <c r="B501" t="s">
        <v>28</v>
      </c>
      <c r="C501">
        <v>22</v>
      </c>
      <c r="D501" t="s">
        <v>89</v>
      </c>
      <c r="E501" t="s">
        <v>90</v>
      </c>
      <c r="F501" t="s">
        <v>31</v>
      </c>
      <c r="G501">
        <v>48188</v>
      </c>
      <c r="H501" s="1">
        <v>45475</v>
      </c>
      <c r="I501" t="s">
        <v>47</v>
      </c>
      <c r="J501" t="s">
        <v>33</v>
      </c>
      <c r="K501" t="s">
        <v>58</v>
      </c>
      <c r="L501">
        <v>6</v>
      </c>
      <c r="M501">
        <v>2</v>
      </c>
      <c r="N501">
        <v>3</v>
      </c>
      <c r="O501" t="s">
        <v>68</v>
      </c>
      <c r="P501" t="s">
        <v>37</v>
      </c>
      <c r="Q501">
        <v>189</v>
      </c>
      <c r="R501">
        <v>14</v>
      </c>
      <c r="S501">
        <v>15</v>
      </c>
      <c r="T501" t="s">
        <v>37</v>
      </c>
      <c r="U501" t="s">
        <v>36</v>
      </c>
      <c r="V501" t="s">
        <v>36</v>
      </c>
      <c r="W501" t="s">
        <v>126</v>
      </c>
      <c r="X501">
        <v>2024</v>
      </c>
      <c r="Y501" t="s">
        <v>79</v>
      </c>
      <c r="Z501" t="s">
        <v>104</v>
      </c>
      <c r="AA501" t="s">
        <v>41</v>
      </c>
    </row>
    <row r="502" spans="1:27" x14ac:dyDescent="0.3">
      <c r="A502" t="s">
        <v>621</v>
      </c>
      <c r="B502" t="s">
        <v>43</v>
      </c>
      <c r="C502">
        <v>38</v>
      </c>
      <c r="D502" t="s">
        <v>54</v>
      </c>
      <c r="E502" t="s">
        <v>111</v>
      </c>
      <c r="F502" t="s">
        <v>56</v>
      </c>
      <c r="G502">
        <v>31267</v>
      </c>
      <c r="H502" s="1">
        <v>45038</v>
      </c>
      <c r="I502" t="s">
        <v>57</v>
      </c>
      <c r="J502" t="s">
        <v>67</v>
      </c>
      <c r="K502" t="s">
        <v>58</v>
      </c>
      <c r="L502">
        <v>3</v>
      </c>
      <c r="M502">
        <v>1</v>
      </c>
      <c r="N502">
        <v>1</v>
      </c>
      <c r="O502" t="s">
        <v>35</v>
      </c>
      <c r="P502" t="s">
        <v>37</v>
      </c>
      <c r="Q502">
        <v>247</v>
      </c>
      <c r="R502">
        <v>6</v>
      </c>
      <c r="S502">
        <v>27</v>
      </c>
      <c r="T502" t="s">
        <v>37</v>
      </c>
      <c r="U502" t="s">
        <v>37</v>
      </c>
      <c r="V502" t="s">
        <v>37</v>
      </c>
      <c r="W502" t="s">
        <v>38</v>
      </c>
      <c r="X502">
        <v>2023</v>
      </c>
      <c r="Y502" t="s">
        <v>69</v>
      </c>
      <c r="Z502" t="s">
        <v>62</v>
      </c>
      <c r="AA502" t="s">
        <v>63</v>
      </c>
    </row>
    <row r="503" spans="1:27" x14ac:dyDescent="0.3">
      <c r="A503" t="s">
        <v>622</v>
      </c>
      <c r="B503" t="s">
        <v>43</v>
      </c>
      <c r="C503">
        <v>45</v>
      </c>
      <c r="D503" t="s">
        <v>54</v>
      </c>
      <c r="E503" t="s">
        <v>111</v>
      </c>
      <c r="F503" t="s">
        <v>31</v>
      </c>
      <c r="G503">
        <v>57742</v>
      </c>
      <c r="H503" s="1">
        <v>45285</v>
      </c>
      <c r="I503" t="s">
        <v>98</v>
      </c>
      <c r="J503" t="s">
        <v>67</v>
      </c>
      <c r="K503" t="s">
        <v>34</v>
      </c>
      <c r="L503">
        <v>6</v>
      </c>
      <c r="M503">
        <v>2</v>
      </c>
      <c r="N503">
        <v>3</v>
      </c>
      <c r="O503" t="s">
        <v>35</v>
      </c>
      <c r="P503" t="s">
        <v>36</v>
      </c>
      <c r="Q503">
        <v>211</v>
      </c>
      <c r="R503">
        <v>7</v>
      </c>
      <c r="S503">
        <v>28</v>
      </c>
      <c r="T503" t="s">
        <v>37</v>
      </c>
      <c r="U503" t="s">
        <v>36</v>
      </c>
      <c r="V503" t="s">
        <v>36</v>
      </c>
      <c r="W503" t="s">
        <v>60</v>
      </c>
      <c r="X503">
        <v>2023</v>
      </c>
      <c r="Y503" t="s">
        <v>116</v>
      </c>
      <c r="Z503" t="s">
        <v>70</v>
      </c>
      <c r="AA503" t="s">
        <v>41</v>
      </c>
    </row>
    <row r="504" spans="1:27" x14ac:dyDescent="0.3">
      <c r="A504" t="s">
        <v>623</v>
      </c>
      <c r="B504" t="s">
        <v>43</v>
      </c>
      <c r="C504">
        <v>22</v>
      </c>
      <c r="D504" t="s">
        <v>54</v>
      </c>
      <c r="E504" t="s">
        <v>55</v>
      </c>
      <c r="F504" t="s">
        <v>31</v>
      </c>
      <c r="G504">
        <v>42039</v>
      </c>
      <c r="H504" s="1">
        <v>43564</v>
      </c>
      <c r="I504" t="s">
        <v>32</v>
      </c>
      <c r="J504" t="s">
        <v>118</v>
      </c>
      <c r="K504" t="s">
        <v>34</v>
      </c>
      <c r="L504">
        <v>3</v>
      </c>
      <c r="M504">
        <v>2</v>
      </c>
      <c r="N504">
        <v>4</v>
      </c>
      <c r="O504" t="s">
        <v>35</v>
      </c>
      <c r="P504" t="s">
        <v>36</v>
      </c>
      <c r="Q504">
        <v>168</v>
      </c>
      <c r="R504">
        <v>67</v>
      </c>
      <c r="S504">
        <v>7</v>
      </c>
      <c r="T504" t="s">
        <v>37</v>
      </c>
      <c r="U504" t="s">
        <v>36</v>
      </c>
      <c r="V504" t="s">
        <v>36</v>
      </c>
      <c r="W504" t="s">
        <v>60</v>
      </c>
      <c r="X504">
        <v>2019</v>
      </c>
      <c r="Y504" t="s">
        <v>69</v>
      </c>
      <c r="Z504" t="s">
        <v>104</v>
      </c>
      <c r="AA504" t="s">
        <v>41</v>
      </c>
    </row>
    <row r="505" spans="1:27" x14ac:dyDescent="0.3">
      <c r="A505" t="s">
        <v>624</v>
      </c>
      <c r="B505" t="s">
        <v>28</v>
      </c>
      <c r="C505">
        <v>35</v>
      </c>
      <c r="D505" t="s">
        <v>81</v>
      </c>
      <c r="E505" t="s">
        <v>82</v>
      </c>
      <c r="F505" t="s">
        <v>56</v>
      </c>
      <c r="G505">
        <v>38935</v>
      </c>
      <c r="H505" s="1">
        <v>44942</v>
      </c>
      <c r="I505" t="s">
        <v>107</v>
      </c>
      <c r="J505" t="s">
        <v>73</v>
      </c>
      <c r="K505" t="s">
        <v>34</v>
      </c>
      <c r="L505">
        <v>0</v>
      </c>
      <c r="M505">
        <v>1</v>
      </c>
      <c r="N505">
        <v>1</v>
      </c>
      <c r="O505" t="s">
        <v>59</v>
      </c>
      <c r="P505" t="s">
        <v>36</v>
      </c>
      <c r="Q505">
        <v>169</v>
      </c>
      <c r="R505">
        <v>24</v>
      </c>
      <c r="S505">
        <v>30</v>
      </c>
      <c r="T505" t="s">
        <v>36</v>
      </c>
      <c r="U505" t="s">
        <v>36</v>
      </c>
      <c r="V505" t="s">
        <v>36</v>
      </c>
      <c r="W505" t="s">
        <v>60</v>
      </c>
      <c r="X505">
        <v>2023</v>
      </c>
      <c r="Y505" t="s">
        <v>94</v>
      </c>
      <c r="Z505" t="s">
        <v>40</v>
      </c>
      <c r="AA505" t="s">
        <v>63</v>
      </c>
    </row>
    <row r="506" spans="1:27" x14ac:dyDescent="0.3">
      <c r="A506" t="s">
        <v>625</v>
      </c>
      <c r="B506" t="s">
        <v>43</v>
      </c>
      <c r="C506">
        <v>27</v>
      </c>
      <c r="D506" t="s">
        <v>65</v>
      </c>
      <c r="E506" t="s">
        <v>120</v>
      </c>
      <c r="F506" t="s">
        <v>46</v>
      </c>
      <c r="G506">
        <v>97718</v>
      </c>
      <c r="H506" s="1">
        <v>44553</v>
      </c>
      <c r="I506" t="s">
        <v>47</v>
      </c>
      <c r="J506" t="s">
        <v>101</v>
      </c>
      <c r="K506" t="s">
        <v>34</v>
      </c>
      <c r="L506">
        <v>10</v>
      </c>
      <c r="M506">
        <v>1</v>
      </c>
      <c r="N506">
        <v>1</v>
      </c>
      <c r="O506" t="s">
        <v>59</v>
      </c>
      <c r="P506" t="s">
        <v>37</v>
      </c>
      <c r="Q506">
        <v>249</v>
      </c>
      <c r="R506">
        <v>13</v>
      </c>
      <c r="S506">
        <v>5</v>
      </c>
      <c r="T506" t="s">
        <v>36</v>
      </c>
      <c r="U506" t="s">
        <v>36</v>
      </c>
      <c r="V506" t="s">
        <v>37</v>
      </c>
      <c r="W506" t="s">
        <v>38</v>
      </c>
      <c r="X506">
        <v>2021</v>
      </c>
      <c r="Y506" t="s">
        <v>116</v>
      </c>
      <c r="Z506" t="s">
        <v>75</v>
      </c>
      <c r="AA506" t="s">
        <v>87</v>
      </c>
    </row>
    <row r="507" spans="1:27" x14ac:dyDescent="0.3">
      <c r="A507" t="s">
        <v>626</v>
      </c>
      <c r="B507" t="s">
        <v>43</v>
      </c>
      <c r="C507">
        <v>28</v>
      </c>
      <c r="D507" t="s">
        <v>81</v>
      </c>
      <c r="E507" t="s">
        <v>113</v>
      </c>
      <c r="F507" t="s">
        <v>56</v>
      </c>
      <c r="G507">
        <v>38585</v>
      </c>
      <c r="H507" s="1">
        <v>44210</v>
      </c>
      <c r="I507" t="s">
        <v>47</v>
      </c>
      <c r="J507" t="s">
        <v>91</v>
      </c>
      <c r="K507" t="s">
        <v>58</v>
      </c>
      <c r="L507">
        <v>1</v>
      </c>
      <c r="M507">
        <v>4</v>
      </c>
      <c r="N507">
        <v>3</v>
      </c>
      <c r="O507" t="s">
        <v>68</v>
      </c>
      <c r="P507" t="s">
        <v>36</v>
      </c>
      <c r="Q507">
        <v>213</v>
      </c>
      <c r="R507">
        <v>54</v>
      </c>
      <c r="S507">
        <v>15</v>
      </c>
      <c r="T507" t="s">
        <v>36</v>
      </c>
      <c r="U507" t="s">
        <v>36</v>
      </c>
      <c r="V507" t="s">
        <v>36</v>
      </c>
      <c r="W507" t="s">
        <v>126</v>
      </c>
      <c r="X507">
        <v>2021</v>
      </c>
      <c r="Y507" t="s">
        <v>94</v>
      </c>
      <c r="Z507" t="s">
        <v>75</v>
      </c>
      <c r="AA507" t="s">
        <v>63</v>
      </c>
    </row>
    <row r="508" spans="1:27" x14ac:dyDescent="0.3">
      <c r="A508" t="s">
        <v>627</v>
      </c>
      <c r="B508" t="s">
        <v>43</v>
      </c>
      <c r="C508">
        <v>27</v>
      </c>
      <c r="D508" t="s">
        <v>44</v>
      </c>
      <c r="E508" t="s">
        <v>45</v>
      </c>
      <c r="F508" t="s">
        <v>56</v>
      </c>
      <c r="G508">
        <v>41822</v>
      </c>
      <c r="H508" s="1">
        <v>43823</v>
      </c>
      <c r="I508" t="s">
        <v>47</v>
      </c>
      <c r="J508" t="s">
        <v>73</v>
      </c>
      <c r="K508" t="s">
        <v>58</v>
      </c>
      <c r="L508">
        <v>1</v>
      </c>
      <c r="M508">
        <v>2</v>
      </c>
      <c r="N508">
        <v>3</v>
      </c>
      <c r="O508" t="s">
        <v>35</v>
      </c>
      <c r="P508" t="s">
        <v>37</v>
      </c>
      <c r="Q508">
        <v>176</v>
      </c>
      <c r="R508">
        <v>49</v>
      </c>
      <c r="S508">
        <v>13</v>
      </c>
      <c r="T508" t="s">
        <v>37</v>
      </c>
      <c r="U508" t="s">
        <v>37</v>
      </c>
      <c r="V508" t="s">
        <v>36</v>
      </c>
      <c r="W508" t="s">
        <v>60</v>
      </c>
      <c r="X508">
        <v>2019</v>
      </c>
      <c r="Y508" t="s">
        <v>116</v>
      </c>
      <c r="Z508" t="s">
        <v>75</v>
      </c>
      <c r="AA508" t="s">
        <v>41</v>
      </c>
    </row>
    <row r="509" spans="1:27" x14ac:dyDescent="0.3">
      <c r="A509" t="s">
        <v>628</v>
      </c>
      <c r="B509" t="s">
        <v>43</v>
      </c>
      <c r="C509">
        <v>25</v>
      </c>
      <c r="D509" t="s">
        <v>85</v>
      </c>
      <c r="E509" t="s">
        <v>159</v>
      </c>
      <c r="F509" t="s">
        <v>31</v>
      </c>
      <c r="G509">
        <v>48905</v>
      </c>
      <c r="H509" s="1">
        <v>43694</v>
      </c>
      <c r="I509" t="s">
        <v>57</v>
      </c>
      <c r="J509" t="s">
        <v>118</v>
      </c>
      <c r="K509" t="s">
        <v>49</v>
      </c>
      <c r="L509">
        <v>3</v>
      </c>
      <c r="M509">
        <v>2</v>
      </c>
      <c r="N509">
        <v>1</v>
      </c>
      <c r="O509" t="s">
        <v>35</v>
      </c>
      <c r="P509" t="s">
        <v>36</v>
      </c>
      <c r="Q509">
        <v>240</v>
      </c>
      <c r="R509">
        <v>18</v>
      </c>
      <c r="S509">
        <v>23</v>
      </c>
      <c r="T509" t="s">
        <v>36</v>
      </c>
      <c r="U509" t="s">
        <v>36</v>
      </c>
      <c r="V509" t="s">
        <v>36</v>
      </c>
      <c r="W509" t="s">
        <v>60</v>
      </c>
      <c r="X509">
        <v>2019</v>
      </c>
      <c r="Y509" t="s">
        <v>128</v>
      </c>
      <c r="Z509" t="s">
        <v>104</v>
      </c>
      <c r="AA509" t="s">
        <v>41</v>
      </c>
    </row>
    <row r="510" spans="1:27" x14ac:dyDescent="0.3">
      <c r="A510" t="s">
        <v>629</v>
      </c>
      <c r="B510" t="s">
        <v>43</v>
      </c>
      <c r="C510">
        <v>32</v>
      </c>
      <c r="D510" t="s">
        <v>85</v>
      </c>
      <c r="E510" t="s">
        <v>86</v>
      </c>
      <c r="F510" t="s">
        <v>31</v>
      </c>
      <c r="G510">
        <v>53968</v>
      </c>
      <c r="H510" s="1">
        <v>43789</v>
      </c>
      <c r="I510" t="s">
        <v>32</v>
      </c>
      <c r="J510" t="s">
        <v>101</v>
      </c>
      <c r="K510" t="s">
        <v>34</v>
      </c>
      <c r="L510">
        <v>3</v>
      </c>
      <c r="M510">
        <v>2</v>
      </c>
      <c r="N510">
        <v>1</v>
      </c>
      <c r="O510" t="s">
        <v>68</v>
      </c>
      <c r="P510" t="s">
        <v>37</v>
      </c>
      <c r="Q510">
        <v>222</v>
      </c>
      <c r="R510">
        <v>72</v>
      </c>
      <c r="S510">
        <v>24</v>
      </c>
      <c r="T510" t="s">
        <v>36</v>
      </c>
      <c r="U510" t="s">
        <v>36</v>
      </c>
      <c r="V510" t="s">
        <v>37</v>
      </c>
      <c r="W510" t="s">
        <v>38</v>
      </c>
      <c r="X510">
        <v>2019</v>
      </c>
      <c r="Y510" t="s">
        <v>123</v>
      </c>
      <c r="Z510" t="s">
        <v>40</v>
      </c>
      <c r="AA510" t="s">
        <v>41</v>
      </c>
    </row>
    <row r="511" spans="1:27" x14ac:dyDescent="0.3">
      <c r="A511" t="s">
        <v>630</v>
      </c>
      <c r="B511" t="s">
        <v>43</v>
      </c>
      <c r="C511">
        <v>26</v>
      </c>
      <c r="D511" t="s">
        <v>77</v>
      </c>
      <c r="E511" t="s">
        <v>78</v>
      </c>
      <c r="F511" t="s">
        <v>96</v>
      </c>
      <c r="G511">
        <v>91731</v>
      </c>
      <c r="H511" s="1">
        <v>43921</v>
      </c>
      <c r="I511" t="s">
        <v>57</v>
      </c>
      <c r="J511" t="s">
        <v>118</v>
      </c>
      <c r="K511" t="s">
        <v>49</v>
      </c>
      <c r="L511">
        <v>12</v>
      </c>
      <c r="M511">
        <v>2</v>
      </c>
      <c r="N511">
        <v>1</v>
      </c>
      <c r="O511" t="s">
        <v>59</v>
      </c>
      <c r="P511" t="s">
        <v>36</v>
      </c>
      <c r="Q511">
        <v>154</v>
      </c>
      <c r="R511">
        <v>75</v>
      </c>
      <c r="S511">
        <v>24</v>
      </c>
      <c r="T511" t="s">
        <v>36</v>
      </c>
      <c r="U511" t="s">
        <v>36</v>
      </c>
      <c r="V511" t="s">
        <v>36</v>
      </c>
      <c r="W511" t="s">
        <v>60</v>
      </c>
      <c r="X511">
        <v>2020</v>
      </c>
      <c r="Y511" t="s">
        <v>142</v>
      </c>
      <c r="Z511" t="s">
        <v>75</v>
      </c>
      <c r="AA511" t="s">
        <v>87</v>
      </c>
    </row>
    <row r="512" spans="1:27" x14ac:dyDescent="0.3">
      <c r="A512" t="s">
        <v>631</v>
      </c>
      <c r="B512" t="s">
        <v>28</v>
      </c>
      <c r="C512">
        <v>33</v>
      </c>
      <c r="D512" t="s">
        <v>77</v>
      </c>
      <c r="E512" t="s">
        <v>138</v>
      </c>
      <c r="F512" t="s">
        <v>46</v>
      </c>
      <c r="G512">
        <v>71025</v>
      </c>
      <c r="H512" s="1">
        <v>45012</v>
      </c>
      <c r="I512" t="s">
        <v>32</v>
      </c>
      <c r="J512" t="s">
        <v>48</v>
      </c>
      <c r="K512" t="s">
        <v>34</v>
      </c>
      <c r="L512">
        <v>13</v>
      </c>
      <c r="M512">
        <v>2</v>
      </c>
      <c r="N512">
        <v>2</v>
      </c>
      <c r="O512" t="s">
        <v>59</v>
      </c>
      <c r="P512" t="s">
        <v>36</v>
      </c>
      <c r="Q512">
        <v>229</v>
      </c>
      <c r="R512">
        <v>66</v>
      </c>
      <c r="S512">
        <v>12</v>
      </c>
      <c r="T512" t="s">
        <v>36</v>
      </c>
      <c r="U512" t="s">
        <v>37</v>
      </c>
      <c r="V512" t="s">
        <v>36</v>
      </c>
      <c r="W512" t="s">
        <v>126</v>
      </c>
      <c r="X512">
        <v>2023</v>
      </c>
      <c r="Y512" t="s">
        <v>142</v>
      </c>
      <c r="Z512" t="s">
        <v>40</v>
      </c>
      <c r="AA512" t="s">
        <v>52</v>
      </c>
    </row>
    <row r="513" spans="1:27" x14ac:dyDescent="0.3">
      <c r="A513" t="s">
        <v>632</v>
      </c>
      <c r="B513" t="s">
        <v>43</v>
      </c>
      <c r="C513">
        <v>31</v>
      </c>
      <c r="D513" t="s">
        <v>85</v>
      </c>
      <c r="E513" t="s">
        <v>86</v>
      </c>
      <c r="F513" t="s">
        <v>46</v>
      </c>
      <c r="G513">
        <v>107378</v>
      </c>
      <c r="H513" s="1">
        <v>44263</v>
      </c>
      <c r="I513" t="s">
        <v>107</v>
      </c>
      <c r="J513" t="s">
        <v>99</v>
      </c>
      <c r="K513" t="s">
        <v>58</v>
      </c>
      <c r="L513">
        <v>11</v>
      </c>
      <c r="M513">
        <v>3</v>
      </c>
      <c r="N513">
        <v>1</v>
      </c>
      <c r="O513" t="s">
        <v>50</v>
      </c>
      <c r="P513" t="s">
        <v>37</v>
      </c>
      <c r="Q513">
        <v>159</v>
      </c>
      <c r="R513">
        <v>25</v>
      </c>
      <c r="S513">
        <v>19</v>
      </c>
      <c r="T513" t="s">
        <v>37</v>
      </c>
      <c r="U513" t="s">
        <v>36</v>
      </c>
      <c r="V513" t="s">
        <v>36</v>
      </c>
      <c r="W513" t="s">
        <v>60</v>
      </c>
      <c r="X513">
        <v>2021</v>
      </c>
      <c r="Y513" t="s">
        <v>142</v>
      </c>
      <c r="Z513" t="s">
        <v>40</v>
      </c>
      <c r="AA513" t="s">
        <v>87</v>
      </c>
    </row>
    <row r="514" spans="1:27" x14ac:dyDescent="0.3">
      <c r="A514" t="s">
        <v>633</v>
      </c>
      <c r="B514" t="s">
        <v>28</v>
      </c>
      <c r="C514">
        <v>30</v>
      </c>
      <c r="D514" t="s">
        <v>29</v>
      </c>
      <c r="E514" t="s">
        <v>30</v>
      </c>
      <c r="F514" t="s">
        <v>31</v>
      </c>
      <c r="G514">
        <v>60077</v>
      </c>
      <c r="H514" s="1">
        <v>46080</v>
      </c>
      <c r="I514" t="s">
        <v>47</v>
      </c>
      <c r="J514" t="s">
        <v>99</v>
      </c>
      <c r="K514" t="s">
        <v>58</v>
      </c>
      <c r="L514">
        <v>3</v>
      </c>
      <c r="M514">
        <v>1</v>
      </c>
      <c r="N514">
        <v>2</v>
      </c>
      <c r="O514" t="s">
        <v>50</v>
      </c>
      <c r="P514" t="s">
        <v>36</v>
      </c>
      <c r="Q514">
        <v>160</v>
      </c>
      <c r="R514">
        <v>16</v>
      </c>
      <c r="S514">
        <v>11</v>
      </c>
      <c r="T514" t="s">
        <v>37</v>
      </c>
      <c r="U514" t="s">
        <v>37</v>
      </c>
      <c r="V514" t="s">
        <v>36</v>
      </c>
      <c r="W514" t="s">
        <v>60</v>
      </c>
      <c r="X514">
        <v>2026</v>
      </c>
      <c r="Y514" t="s">
        <v>39</v>
      </c>
      <c r="Z514" t="s">
        <v>75</v>
      </c>
      <c r="AA514" t="s">
        <v>52</v>
      </c>
    </row>
    <row r="515" spans="1:27" x14ac:dyDescent="0.3">
      <c r="A515" t="s">
        <v>634</v>
      </c>
      <c r="B515" t="s">
        <v>43</v>
      </c>
      <c r="C515">
        <v>25</v>
      </c>
      <c r="D515" t="s">
        <v>77</v>
      </c>
      <c r="E515" t="s">
        <v>138</v>
      </c>
      <c r="F515" t="s">
        <v>46</v>
      </c>
      <c r="G515">
        <v>90601</v>
      </c>
      <c r="H515" s="1">
        <v>43996</v>
      </c>
      <c r="I515" t="s">
        <v>32</v>
      </c>
      <c r="J515" t="s">
        <v>99</v>
      </c>
      <c r="K515" t="s">
        <v>34</v>
      </c>
      <c r="L515">
        <v>10</v>
      </c>
      <c r="M515">
        <v>1</v>
      </c>
      <c r="N515">
        <v>3</v>
      </c>
      <c r="O515" t="s">
        <v>59</v>
      </c>
      <c r="P515" t="s">
        <v>36</v>
      </c>
      <c r="Q515">
        <v>244</v>
      </c>
      <c r="R515">
        <v>66</v>
      </c>
      <c r="S515">
        <v>20</v>
      </c>
      <c r="T515" t="s">
        <v>37</v>
      </c>
      <c r="U515" t="s">
        <v>37</v>
      </c>
      <c r="V515" t="s">
        <v>36</v>
      </c>
      <c r="W515" t="s">
        <v>60</v>
      </c>
      <c r="X515">
        <v>2020</v>
      </c>
      <c r="Y515" t="s">
        <v>61</v>
      </c>
      <c r="Z515" t="s">
        <v>104</v>
      </c>
      <c r="AA515" t="s">
        <v>87</v>
      </c>
    </row>
    <row r="516" spans="1:27" x14ac:dyDescent="0.3">
      <c r="A516" t="s">
        <v>635</v>
      </c>
      <c r="B516" t="s">
        <v>28</v>
      </c>
      <c r="C516">
        <v>27</v>
      </c>
      <c r="D516" t="s">
        <v>85</v>
      </c>
      <c r="E516" t="s">
        <v>159</v>
      </c>
      <c r="F516" t="s">
        <v>56</v>
      </c>
      <c r="G516">
        <v>31056</v>
      </c>
      <c r="H516" s="1">
        <v>44349</v>
      </c>
      <c r="I516" t="s">
        <v>32</v>
      </c>
      <c r="J516" t="s">
        <v>91</v>
      </c>
      <c r="K516" t="s">
        <v>49</v>
      </c>
      <c r="L516">
        <v>1</v>
      </c>
      <c r="M516">
        <v>2</v>
      </c>
      <c r="N516">
        <v>2</v>
      </c>
      <c r="O516" t="s">
        <v>50</v>
      </c>
      <c r="P516" t="s">
        <v>36</v>
      </c>
      <c r="Q516">
        <v>216</v>
      </c>
      <c r="R516">
        <v>60</v>
      </c>
      <c r="S516">
        <v>3</v>
      </c>
      <c r="T516" t="s">
        <v>36</v>
      </c>
      <c r="U516" t="s">
        <v>36</v>
      </c>
      <c r="V516" t="s">
        <v>36</v>
      </c>
      <c r="W516" t="s">
        <v>126</v>
      </c>
      <c r="X516">
        <v>2021</v>
      </c>
      <c r="Y516" t="s">
        <v>61</v>
      </c>
      <c r="Z516" t="s">
        <v>75</v>
      </c>
      <c r="AA516" t="s">
        <v>63</v>
      </c>
    </row>
    <row r="517" spans="1:27" x14ac:dyDescent="0.3">
      <c r="A517" t="s">
        <v>636</v>
      </c>
      <c r="B517" t="s">
        <v>28</v>
      </c>
      <c r="C517">
        <v>37</v>
      </c>
      <c r="D517" t="s">
        <v>44</v>
      </c>
      <c r="E517" t="s">
        <v>219</v>
      </c>
      <c r="F517" t="s">
        <v>31</v>
      </c>
      <c r="G517">
        <v>60576</v>
      </c>
      <c r="H517" s="1">
        <v>45503</v>
      </c>
      <c r="I517" t="s">
        <v>57</v>
      </c>
      <c r="J517" t="s">
        <v>101</v>
      </c>
      <c r="K517" t="s">
        <v>58</v>
      </c>
      <c r="L517">
        <v>7</v>
      </c>
      <c r="M517">
        <v>1</v>
      </c>
      <c r="N517">
        <v>1</v>
      </c>
      <c r="O517" t="s">
        <v>59</v>
      </c>
      <c r="P517" t="s">
        <v>37</v>
      </c>
      <c r="Q517">
        <v>248</v>
      </c>
      <c r="R517">
        <v>45</v>
      </c>
      <c r="S517">
        <v>7</v>
      </c>
      <c r="T517" t="s">
        <v>36</v>
      </c>
      <c r="U517" t="s">
        <v>36</v>
      </c>
      <c r="V517" t="s">
        <v>36</v>
      </c>
      <c r="W517" t="s">
        <v>60</v>
      </c>
      <c r="X517">
        <v>2024</v>
      </c>
      <c r="Y517" t="s">
        <v>79</v>
      </c>
      <c r="Z517" t="s">
        <v>62</v>
      </c>
      <c r="AA517" t="s">
        <v>52</v>
      </c>
    </row>
    <row r="518" spans="1:27" x14ac:dyDescent="0.3">
      <c r="A518" t="s">
        <v>637</v>
      </c>
      <c r="B518" t="s">
        <v>28</v>
      </c>
      <c r="C518">
        <v>35</v>
      </c>
      <c r="D518" t="s">
        <v>81</v>
      </c>
      <c r="E518" t="s">
        <v>82</v>
      </c>
      <c r="F518" t="s">
        <v>46</v>
      </c>
      <c r="G518">
        <v>70847</v>
      </c>
      <c r="H518" s="1">
        <v>44199</v>
      </c>
      <c r="I518" t="s">
        <v>32</v>
      </c>
      <c r="J518" t="s">
        <v>48</v>
      </c>
      <c r="K518" t="s">
        <v>34</v>
      </c>
      <c r="L518">
        <v>6</v>
      </c>
      <c r="M518">
        <v>4</v>
      </c>
      <c r="N518">
        <v>3</v>
      </c>
      <c r="O518" t="s">
        <v>59</v>
      </c>
      <c r="P518" t="s">
        <v>36</v>
      </c>
      <c r="Q518">
        <v>182</v>
      </c>
      <c r="R518">
        <v>10</v>
      </c>
      <c r="S518">
        <v>13</v>
      </c>
      <c r="T518" t="s">
        <v>36</v>
      </c>
      <c r="U518" t="s">
        <v>36</v>
      </c>
      <c r="V518" t="s">
        <v>36</v>
      </c>
      <c r="W518" t="s">
        <v>126</v>
      </c>
      <c r="X518">
        <v>2021</v>
      </c>
      <c r="Y518" t="s">
        <v>94</v>
      </c>
      <c r="Z518" t="s">
        <v>40</v>
      </c>
      <c r="AA518" t="s">
        <v>52</v>
      </c>
    </row>
    <row r="519" spans="1:27" x14ac:dyDescent="0.3">
      <c r="A519" t="s">
        <v>638</v>
      </c>
      <c r="B519" t="s">
        <v>43</v>
      </c>
      <c r="C519">
        <v>25</v>
      </c>
      <c r="D519" t="s">
        <v>85</v>
      </c>
      <c r="E519" t="s">
        <v>159</v>
      </c>
      <c r="F519" t="s">
        <v>46</v>
      </c>
      <c r="G519">
        <v>98585</v>
      </c>
      <c r="H519" s="1">
        <v>44750</v>
      </c>
      <c r="I519" t="s">
        <v>57</v>
      </c>
      <c r="J519" t="s">
        <v>99</v>
      </c>
      <c r="K519" t="s">
        <v>34</v>
      </c>
      <c r="L519">
        <v>14</v>
      </c>
      <c r="M519">
        <v>3</v>
      </c>
      <c r="N519">
        <v>1</v>
      </c>
      <c r="O519" t="s">
        <v>68</v>
      </c>
      <c r="P519" t="s">
        <v>36</v>
      </c>
      <c r="Q519">
        <v>202</v>
      </c>
      <c r="R519">
        <v>76</v>
      </c>
      <c r="S519">
        <v>2</v>
      </c>
      <c r="T519" t="s">
        <v>37</v>
      </c>
      <c r="U519" t="s">
        <v>36</v>
      </c>
      <c r="V519" t="s">
        <v>36</v>
      </c>
      <c r="W519" t="s">
        <v>60</v>
      </c>
      <c r="X519">
        <v>2022</v>
      </c>
      <c r="Y519" t="s">
        <v>79</v>
      </c>
      <c r="Z519" t="s">
        <v>104</v>
      </c>
      <c r="AA519" t="s">
        <v>87</v>
      </c>
    </row>
    <row r="520" spans="1:27" x14ac:dyDescent="0.3">
      <c r="A520" t="s">
        <v>639</v>
      </c>
      <c r="B520" t="s">
        <v>43</v>
      </c>
      <c r="C520">
        <v>32</v>
      </c>
      <c r="D520" t="s">
        <v>77</v>
      </c>
      <c r="E520" t="s">
        <v>138</v>
      </c>
      <c r="F520" t="s">
        <v>96</v>
      </c>
      <c r="G520">
        <v>99565</v>
      </c>
      <c r="H520" s="1">
        <v>45056</v>
      </c>
      <c r="I520" t="s">
        <v>47</v>
      </c>
      <c r="J520" t="s">
        <v>48</v>
      </c>
      <c r="K520" t="s">
        <v>58</v>
      </c>
      <c r="L520">
        <v>11</v>
      </c>
      <c r="M520">
        <v>4</v>
      </c>
      <c r="N520">
        <v>1</v>
      </c>
      <c r="O520" t="s">
        <v>68</v>
      </c>
      <c r="P520" t="s">
        <v>36</v>
      </c>
      <c r="Q520">
        <v>209</v>
      </c>
      <c r="R520">
        <v>18</v>
      </c>
      <c r="S520">
        <v>14</v>
      </c>
      <c r="T520" t="s">
        <v>36</v>
      </c>
      <c r="U520" t="s">
        <v>36</v>
      </c>
      <c r="V520" t="s">
        <v>36</v>
      </c>
      <c r="W520" t="s">
        <v>60</v>
      </c>
      <c r="X520">
        <v>2023</v>
      </c>
      <c r="Y520" t="s">
        <v>74</v>
      </c>
      <c r="Z520" t="s">
        <v>40</v>
      </c>
      <c r="AA520" t="s">
        <v>87</v>
      </c>
    </row>
    <row r="521" spans="1:27" x14ac:dyDescent="0.3">
      <c r="A521" t="s">
        <v>640</v>
      </c>
      <c r="B521" t="s">
        <v>43</v>
      </c>
      <c r="C521">
        <v>37</v>
      </c>
      <c r="D521" t="s">
        <v>65</v>
      </c>
      <c r="E521" t="s">
        <v>120</v>
      </c>
      <c r="F521" t="s">
        <v>46</v>
      </c>
      <c r="G521">
        <v>87441</v>
      </c>
      <c r="H521" s="1">
        <v>45457</v>
      </c>
      <c r="I521" t="s">
        <v>32</v>
      </c>
      <c r="J521" t="s">
        <v>101</v>
      </c>
      <c r="K521" t="s">
        <v>58</v>
      </c>
      <c r="L521">
        <v>14</v>
      </c>
      <c r="M521">
        <v>2</v>
      </c>
      <c r="N521">
        <v>4</v>
      </c>
      <c r="O521" t="s">
        <v>68</v>
      </c>
      <c r="P521" t="s">
        <v>37</v>
      </c>
      <c r="Q521">
        <v>185</v>
      </c>
      <c r="R521">
        <v>45</v>
      </c>
      <c r="S521">
        <v>20</v>
      </c>
      <c r="T521" t="s">
        <v>37</v>
      </c>
      <c r="U521" t="s">
        <v>36</v>
      </c>
      <c r="V521" t="s">
        <v>37</v>
      </c>
      <c r="W521" t="s">
        <v>38</v>
      </c>
      <c r="X521">
        <v>2024</v>
      </c>
      <c r="Y521" t="s">
        <v>61</v>
      </c>
      <c r="Z521" t="s">
        <v>62</v>
      </c>
      <c r="AA521" t="s">
        <v>52</v>
      </c>
    </row>
    <row r="522" spans="1:27" x14ac:dyDescent="0.3">
      <c r="A522" t="s">
        <v>641</v>
      </c>
      <c r="B522" t="s">
        <v>43</v>
      </c>
      <c r="C522">
        <v>21</v>
      </c>
      <c r="D522" t="s">
        <v>29</v>
      </c>
      <c r="E522" t="s">
        <v>30</v>
      </c>
      <c r="F522" t="s">
        <v>96</v>
      </c>
      <c r="G522">
        <v>152050</v>
      </c>
      <c r="H522" s="1">
        <v>43687</v>
      </c>
      <c r="I522" t="s">
        <v>32</v>
      </c>
      <c r="J522" t="s">
        <v>48</v>
      </c>
      <c r="K522" t="s">
        <v>58</v>
      </c>
      <c r="L522">
        <v>11</v>
      </c>
      <c r="M522">
        <v>2</v>
      </c>
      <c r="N522">
        <v>1</v>
      </c>
      <c r="O522" t="s">
        <v>35</v>
      </c>
      <c r="P522" t="s">
        <v>36</v>
      </c>
      <c r="Q522">
        <v>204</v>
      </c>
      <c r="R522">
        <v>40</v>
      </c>
      <c r="S522">
        <v>14</v>
      </c>
      <c r="T522" t="s">
        <v>37</v>
      </c>
      <c r="U522" t="s">
        <v>36</v>
      </c>
      <c r="V522" t="s">
        <v>36</v>
      </c>
      <c r="W522" t="s">
        <v>60</v>
      </c>
      <c r="X522">
        <v>2019</v>
      </c>
      <c r="Y522" t="s">
        <v>128</v>
      </c>
      <c r="Z522" t="s">
        <v>104</v>
      </c>
      <c r="AA522" t="s">
        <v>105</v>
      </c>
    </row>
    <row r="523" spans="1:27" x14ac:dyDescent="0.3">
      <c r="A523" t="s">
        <v>642</v>
      </c>
      <c r="B523" t="s">
        <v>43</v>
      </c>
      <c r="C523">
        <v>35</v>
      </c>
      <c r="D523" t="s">
        <v>77</v>
      </c>
      <c r="E523" t="s">
        <v>138</v>
      </c>
      <c r="F523" t="s">
        <v>46</v>
      </c>
      <c r="G523">
        <v>77063</v>
      </c>
      <c r="H523" s="1">
        <v>43844</v>
      </c>
      <c r="I523" t="s">
        <v>47</v>
      </c>
      <c r="J523" t="s">
        <v>101</v>
      </c>
      <c r="K523" t="s">
        <v>49</v>
      </c>
      <c r="L523">
        <v>5</v>
      </c>
      <c r="M523">
        <v>4</v>
      </c>
      <c r="N523">
        <v>3</v>
      </c>
      <c r="O523" t="s">
        <v>68</v>
      </c>
      <c r="P523" t="s">
        <v>36</v>
      </c>
      <c r="Q523">
        <v>171</v>
      </c>
      <c r="R523">
        <v>60</v>
      </c>
      <c r="S523">
        <v>13</v>
      </c>
      <c r="T523" t="s">
        <v>36</v>
      </c>
      <c r="U523" t="s">
        <v>36</v>
      </c>
      <c r="V523" t="s">
        <v>36</v>
      </c>
      <c r="W523" t="s">
        <v>126</v>
      </c>
      <c r="X523">
        <v>2020</v>
      </c>
      <c r="Y523" t="s">
        <v>94</v>
      </c>
      <c r="Z523" t="s">
        <v>40</v>
      </c>
      <c r="AA523" t="s">
        <v>52</v>
      </c>
    </row>
    <row r="524" spans="1:27" x14ac:dyDescent="0.3">
      <c r="A524" t="s">
        <v>643</v>
      </c>
      <c r="B524" t="s">
        <v>28</v>
      </c>
      <c r="C524">
        <v>27</v>
      </c>
      <c r="D524" t="s">
        <v>44</v>
      </c>
      <c r="E524" t="s">
        <v>219</v>
      </c>
      <c r="F524" t="s">
        <v>31</v>
      </c>
      <c r="G524">
        <v>52608</v>
      </c>
      <c r="H524" s="1">
        <v>44762</v>
      </c>
      <c r="I524" t="s">
        <v>57</v>
      </c>
      <c r="J524" t="s">
        <v>118</v>
      </c>
      <c r="K524" t="s">
        <v>49</v>
      </c>
      <c r="L524">
        <v>7</v>
      </c>
      <c r="M524">
        <v>1</v>
      </c>
      <c r="N524">
        <v>2</v>
      </c>
      <c r="O524" t="s">
        <v>35</v>
      </c>
      <c r="P524" t="s">
        <v>36</v>
      </c>
      <c r="Q524">
        <v>168</v>
      </c>
      <c r="R524">
        <v>62</v>
      </c>
      <c r="S524">
        <v>28</v>
      </c>
      <c r="T524" t="s">
        <v>37</v>
      </c>
      <c r="U524" t="s">
        <v>36</v>
      </c>
      <c r="V524" t="s">
        <v>36</v>
      </c>
      <c r="W524" t="s">
        <v>126</v>
      </c>
      <c r="X524">
        <v>2022</v>
      </c>
      <c r="Y524" t="s">
        <v>79</v>
      </c>
      <c r="Z524" t="s">
        <v>75</v>
      </c>
      <c r="AA524" t="s">
        <v>41</v>
      </c>
    </row>
    <row r="525" spans="1:27" x14ac:dyDescent="0.3">
      <c r="A525" t="s">
        <v>644</v>
      </c>
      <c r="B525" t="s">
        <v>28</v>
      </c>
      <c r="C525">
        <v>35</v>
      </c>
      <c r="D525" t="s">
        <v>29</v>
      </c>
      <c r="E525" t="s">
        <v>93</v>
      </c>
      <c r="F525" t="s">
        <v>31</v>
      </c>
      <c r="G525">
        <v>55768</v>
      </c>
      <c r="H525" s="1">
        <v>45702</v>
      </c>
      <c r="I525" t="s">
        <v>32</v>
      </c>
      <c r="J525" t="s">
        <v>99</v>
      </c>
      <c r="K525" t="s">
        <v>49</v>
      </c>
      <c r="L525">
        <v>7</v>
      </c>
      <c r="M525">
        <v>2</v>
      </c>
      <c r="N525">
        <v>5</v>
      </c>
      <c r="O525" t="s">
        <v>50</v>
      </c>
      <c r="P525" t="s">
        <v>36</v>
      </c>
      <c r="Q525">
        <v>177</v>
      </c>
      <c r="R525">
        <v>7</v>
      </c>
      <c r="S525">
        <v>11</v>
      </c>
      <c r="T525" t="s">
        <v>36</v>
      </c>
      <c r="U525" t="s">
        <v>36</v>
      </c>
      <c r="V525" t="s">
        <v>36</v>
      </c>
      <c r="W525" t="s">
        <v>60</v>
      </c>
      <c r="X525">
        <v>2025</v>
      </c>
      <c r="Y525" t="s">
        <v>39</v>
      </c>
      <c r="Z525" t="s">
        <v>40</v>
      </c>
      <c r="AA525" t="s">
        <v>41</v>
      </c>
    </row>
    <row r="526" spans="1:27" x14ac:dyDescent="0.3">
      <c r="A526" t="s">
        <v>645</v>
      </c>
      <c r="B526" t="s">
        <v>43</v>
      </c>
      <c r="C526">
        <v>26</v>
      </c>
      <c r="D526" t="s">
        <v>89</v>
      </c>
      <c r="E526" t="s">
        <v>130</v>
      </c>
      <c r="F526" t="s">
        <v>96</v>
      </c>
      <c r="G526">
        <v>136101</v>
      </c>
      <c r="H526" s="1">
        <v>45687</v>
      </c>
      <c r="I526" t="s">
        <v>107</v>
      </c>
      <c r="J526" t="s">
        <v>73</v>
      </c>
      <c r="K526" t="s">
        <v>34</v>
      </c>
      <c r="L526">
        <v>13</v>
      </c>
      <c r="M526">
        <v>4</v>
      </c>
      <c r="N526">
        <v>5</v>
      </c>
      <c r="O526" t="s">
        <v>68</v>
      </c>
      <c r="P526" t="s">
        <v>36</v>
      </c>
      <c r="Q526">
        <v>164</v>
      </c>
      <c r="R526">
        <v>74</v>
      </c>
      <c r="S526">
        <v>15</v>
      </c>
      <c r="T526" t="s">
        <v>36</v>
      </c>
      <c r="U526" t="s">
        <v>36</v>
      </c>
      <c r="V526" t="s">
        <v>36</v>
      </c>
      <c r="W526" t="s">
        <v>60</v>
      </c>
      <c r="X526">
        <v>2025</v>
      </c>
      <c r="Y526" t="s">
        <v>94</v>
      </c>
      <c r="Z526" t="s">
        <v>75</v>
      </c>
      <c r="AA526" t="s">
        <v>105</v>
      </c>
    </row>
    <row r="527" spans="1:27" x14ac:dyDescent="0.3">
      <c r="A527" t="s">
        <v>646</v>
      </c>
      <c r="B527" t="s">
        <v>43</v>
      </c>
      <c r="C527">
        <v>21</v>
      </c>
      <c r="D527" t="s">
        <v>81</v>
      </c>
      <c r="E527" t="s">
        <v>201</v>
      </c>
      <c r="F527" t="s">
        <v>56</v>
      </c>
      <c r="G527">
        <v>31401</v>
      </c>
      <c r="H527" s="1">
        <v>46126</v>
      </c>
      <c r="I527" t="s">
        <v>98</v>
      </c>
      <c r="J527" t="s">
        <v>48</v>
      </c>
      <c r="K527" t="s">
        <v>34</v>
      </c>
      <c r="L527">
        <v>0</v>
      </c>
      <c r="M527">
        <v>1</v>
      </c>
      <c r="N527">
        <v>5</v>
      </c>
      <c r="O527" t="s">
        <v>59</v>
      </c>
      <c r="P527" t="s">
        <v>36</v>
      </c>
      <c r="Q527">
        <v>163</v>
      </c>
      <c r="R527">
        <v>69</v>
      </c>
      <c r="S527">
        <v>20</v>
      </c>
      <c r="T527" t="s">
        <v>37</v>
      </c>
      <c r="U527" t="s">
        <v>36</v>
      </c>
      <c r="V527" t="s">
        <v>36</v>
      </c>
      <c r="W527" t="s">
        <v>60</v>
      </c>
      <c r="X527">
        <v>2026</v>
      </c>
      <c r="Y527" t="s">
        <v>69</v>
      </c>
      <c r="Z527" t="s">
        <v>104</v>
      </c>
      <c r="AA527" t="s">
        <v>63</v>
      </c>
    </row>
    <row r="528" spans="1:27" x14ac:dyDescent="0.3">
      <c r="A528" t="s">
        <v>647</v>
      </c>
      <c r="B528" t="s">
        <v>43</v>
      </c>
      <c r="C528">
        <v>21</v>
      </c>
      <c r="D528" t="s">
        <v>44</v>
      </c>
      <c r="E528" t="s">
        <v>115</v>
      </c>
      <c r="F528" t="s">
        <v>96</v>
      </c>
      <c r="G528">
        <v>139948</v>
      </c>
      <c r="H528" s="1">
        <v>44267</v>
      </c>
      <c r="I528" t="s">
        <v>47</v>
      </c>
      <c r="J528" t="s">
        <v>99</v>
      </c>
      <c r="K528" t="s">
        <v>49</v>
      </c>
      <c r="L528">
        <v>9</v>
      </c>
      <c r="M528">
        <v>4</v>
      </c>
      <c r="N528">
        <v>1</v>
      </c>
      <c r="O528" t="s">
        <v>68</v>
      </c>
      <c r="P528" t="s">
        <v>36</v>
      </c>
      <c r="Q528">
        <v>251</v>
      </c>
      <c r="R528">
        <v>69</v>
      </c>
      <c r="S528">
        <v>11</v>
      </c>
      <c r="T528" t="s">
        <v>36</v>
      </c>
      <c r="U528" t="s">
        <v>36</v>
      </c>
      <c r="V528" t="s">
        <v>36</v>
      </c>
      <c r="W528" t="s">
        <v>60</v>
      </c>
      <c r="X528">
        <v>2021</v>
      </c>
      <c r="Y528" t="s">
        <v>142</v>
      </c>
      <c r="Z528" t="s">
        <v>104</v>
      </c>
      <c r="AA528" t="s">
        <v>105</v>
      </c>
    </row>
    <row r="529" spans="1:27" x14ac:dyDescent="0.3">
      <c r="A529" t="s">
        <v>648</v>
      </c>
      <c r="B529" t="s">
        <v>43</v>
      </c>
      <c r="C529">
        <v>32</v>
      </c>
      <c r="D529" t="s">
        <v>77</v>
      </c>
      <c r="E529" t="s">
        <v>138</v>
      </c>
      <c r="F529" t="s">
        <v>56</v>
      </c>
      <c r="G529">
        <v>41584</v>
      </c>
      <c r="H529" s="1">
        <v>43529</v>
      </c>
      <c r="I529" t="s">
        <v>98</v>
      </c>
      <c r="J529" t="s">
        <v>118</v>
      </c>
      <c r="K529" t="s">
        <v>58</v>
      </c>
      <c r="L529">
        <v>0</v>
      </c>
      <c r="M529">
        <v>1</v>
      </c>
      <c r="N529">
        <v>2</v>
      </c>
      <c r="O529" t="s">
        <v>59</v>
      </c>
      <c r="P529" t="s">
        <v>36</v>
      </c>
      <c r="Q529">
        <v>257</v>
      </c>
      <c r="R529">
        <v>29</v>
      </c>
      <c r="S529">
        <v>21</v>
      </c>
      <c r="T529" t="s">
        <v>36</v>
      </c>
      <c r="U529" t="s">
        <v>36</v>
      </c>
      <c r="V529" t="s">
        <v>36</v>
      </c>
      <c r="W529" t="s">
        <v>126</v>
      </c>
      <c r="X529">
        <v>2019</v>
      </c>
      <c r="Y529" t="s">
        <v>142</v>
      </c>
      <c r="Z529" t="s">
        <v>40</v>
      </c>
      <c r="AA529" t="s">
        <v>41</v>
      </c>
    </row>
    <row r="530" spans="1:27" x14ac:dyDescent="0.3">
      <c r="A530" t="s">
        <v>649</v>
      </c>
      <c r="B530" t="s">
        <v>28</v>
      </c>
      <c r="C530">
        <v>33</v>
      </c>
      <c r="D530" t="s">
        <v>77</v>
      </c>
      <c r="E530" t="s">
        <v>138</v>
      </c>
      <c r="F530" t="s">
        <v>96</v>
      </c>
      <c r="G530">
        <v>112769</v>
      </c>
      <c r="H530" s="1">
        <v>44769</v>
      </c>
      <c r="I530" t="s">
        <v>32</v>
      </c>
      <c r="J530" t="s">
        <v>48</v>
      </c>
      <c r="K530" t="s">
        <v>34</v>
      </c>
      <c r="L530">
        <v>14</v>
      </c>
      <c r="M530">
        <v>5</v>
      </c>
      <c r="N530">
        <v>2</v>
      </c>
      <c r="O530" t="s">
        <v>59</v>
      </c>
      <c r="P530" t="s">
        <v>36</v>
      </c>
      <c r="Q530">
        <v>179</v>
      </c>
      <c r="R530">
        <v>38</v>
      </c>
      <c r="S530">
        <v>28</v>
      </c>
      <c r="T530" t="s">
        <v>36</v>
      </c>
      <c r="U530" t="s">
        <v>37</v>
      </c>
      <c r="V530" t="s">
        <v>36</v>
      </c>
      <c r="W530" t="s">
        <v>60</v>
      </c>
      <c r="X530">
        <v>2022</v>
      </c>
      <c r="Y530" t="s">
        <v>79</v>
      </c>
      <c r="Z530" t="s">
        <v>40</v>
      </c>
      <c r="AA530" t="s">
        <v>87</v>
      </c>
    </row>
    <row r="531" spans="1:27" x14ac:dyDescent="0.3">
      <c r="A531" t="s">
        <v>650</v>
      </c>
      <c r="B531" t="s">
        <v>43</v>
      </c>
      <c r="C531">
        <v>25</v>
      </c>
      <c r="D531" t="s">
        <v>44</v>
      </c>
      <c r="E531" t="s">
        <v>219</v>
      </c>
      <c r="F531" t="s">
        <v>56</v>
      </c>
      <c r="G531">
        <v>28840</v>
      </c>
      <c r="H531" s="1">
        <v>43513</v>
      </c>
      <c r="I531" t="s">
        <v>57</v>
      </c>
      <c r="J531" t="s">
        <v>73</v>
      </c>
      <c r="K531" t="s">
        <v>49</v>
      </c>
      <c r="L531">
        <v>3</v>
      </c>
      <c r="M531">
        <v>5</v>
      </c>
      <c r="N531">
        <v>2</v>
      </c>
      <c r="O531" t="s">
        <v>50</v>
      </c>
      <c r="P531" t="s">
        <v>37</v>
      </c>
      <c r="Q531">
        <v>229</v>
      </c>
      <c r="R531">
        <v>28</v>
      </c>
      <c r="S531">
        <v>9</v>
      </c>
      <c r="T531" t="s">
        <v>36</v>
      </c>
      <c r="U531" t="s">
        <v>37</v>
      </c>
      <c r="V531" t="s">
        <v>36</v>
      </c>
      <c r="W531" t="s">
        <v>60</v>
      </c>
      <c r="X531">
        <v>2019</v>
      </c>
      <c r="Y531" t="s">
        <v>39</v>
      </c>
      <c r="Z531" t="s">
        <v>104</v>
      </c>
      <c r="AA531" t="s">
        <v>63</v>
      </c>
    </row>
    <row r="532" spans="1:27" x14ac:dyDescent="0.3">
      <c r="A532" t="s">
        <v>651</v>
      </c>
      <c r="B532" t="s">
        <v>43</v>
      </c>
      <c r="C532">
        <v>36</v>
      </c>
      <c r="D532" t="s">
        <v>44</v>
      </c>
      <c r="E532" t="s">
        <v>115</v>
      </c>
      <c r="F532" t="s">
        <v>96</v>
      </c>
      <c r="G532">
        <v>124141</v>
      </c>
      <c r="H532" s="1">
        <v>43677</v>
      </c>
      <c r="I532" t="s">
        <v>98</v>
      </c>
      <c r="J532" t="s">
        <v>48</v>
      </c>
      <c r="K532" t="s">
        <v>58</v>
      </c>
      <c r="L532">
        <v>18</v>
      </c>
      <c r="M532">
        <v>3</v>
      </c>
      <c r="N532">
        <v>1</v>
      </c>
      <c r="O532" t="s">
        <v>59</v>
      </c>
      <c r="P532" t="s">
        <v>37</v>
      </c>
      <c r="Q532">
        <v>230</v>
      </c>
      <c r="R532">
        <v>20</v>
      </c>
      <c r="S532">
        <v>5</v>
      </c>
      <c r="T532" t="s">
        <v>37</v>
      </c>
      <c r="U532" t="s">
        <v>37</v>
      </c>
      <c r="V532" t="s">
        <v>36</v>
      </c>
      <c r="W532" t="s">
        <v>60</v>
      </c>
      <c r="X532">
        <v>2019</v>
      </c>
      <c r="Y532" t="s">
        <v>79</v>
      </c>
      <c r="Z532" t="s">
        <v>62</v>
      </c>
      <c r="AA532" t="s">
        <v>87</v>
      </c>
    </row>
    <row r="533" spans="1:27" x14ac:dyDescent="0.3">
      <c r="A533" t="s">
        <v>652</v>
      </c>
      <c r="B533" t="s">
        <v>43</v>
      </c>
      <c r="C533">
        <v>21</v>
      </c>
      <c r="D533" t="s">
        <v>85</v>
      </c>
      <c r="E533" t="s">
        <v>86</v>
      </c>
      <c r="F533" t="s">
        <v>56</v>
      </c>
      <c r="G533">
        <v>44195</v>
      </c>
      <c r="H533" s="1">
        <v>44317</v>
      </c>
      <c r="I533" t="s">
        <v>47</v>
      </c>
      <c r="J533" t="s">
        <v>48</v>
      </c>
      <c r="K533" t="s">
        <v>58</v>
      </c>
      <c r="L533">
        <v>2</v>
      </c>
      <c r="M533">
        <v>4</v>
      </c>
      <c r="N533">
        <v>1</v>
      </c>
      <c r="O533" t="s">
        <v>59</v>
      </c>
      <c r="P533" t="s">
        <v>36</v>
      </c>
      <c r="Q533">
        <v>251</v>
      </c>
      <c r="R533">
        <v>53</v>
      </c>
      <c r="S533">
        <v>30</v>
      </c>
      <c r="T533" t="s">
        <v>36</v>
      </c>
      <c r="U533" t="s">
        <v>37</v>
      </c>
      <c r="V533" t="s">
        <v>36</v>
      </c>
      <c r="W533" t="s">
        <v>126</v>
      </c>
      <c r="X533">
        <v>2021</v>
      </c>
      <c r="Y533" t="s">
        <v>74</v>
      </c>
      <c r="Z533" t="s">
        <v>104</v>
      </c>
      <c r="AA533" t="s">
        <v>41</v>
      </c>
    </row>
    <row r="534" spans="1:27" x14ac:dyDescent="0.3">
      <c r="A534" t="s">
        <v>653</v>
      </c>
      <c r="B534" t="s">
        <v>28</v>
      </c>
      <c r="C534">
        <v>31</v>
      </c>
      <c r="D534" t="s">
        <v>85</v>
      </c>
      <c r="E534" t="s">
        <v>151</v>
      </c>
      <c r="F534" t="s">
        <v>56</v>
      </c>
      <c r="G534">
        <v>33854</v>
      </c>
      <c r="H534" s="1">
        <v>43946</v>
      </c>
      <c r="I534" t="s">
        <v>107</v>
      </c>
      <c r="J534" t="s">
        <v>48</v>
      </c>
      <c r="K534" t="s">
        <v>58</v>
      </c>
      <c r="L534">
        <v>0</v>
      </c>
      <c r="M534">
        <v>3</v>
      </c>
      <c r="N534">
        <v>3</v>
      </c>
      <c r="O534" t="s">
        <v>35</v>
      </c>
      <c r="P534" t="s">
        <v>36</v>
      </c>
      <c r="Q534">
        <v>228</v>
      </c>
      <c r="R534">
        <v>73</v>
      </c>
      <c r="S534">
        <v>2</v>
      </c>
      <c r="T534" t="s">
        <v>36</v>
      </c>
      <c r="U534" t="s">
        <v>37</v>
      </c>
      <c r="V534" t="s">
        <v>36</v>
      </c>
      <c r="W534" t="s">
        <v>60</v>
      </c>
      <c r="X534">
        <v>2020</v>
      </c>
      <c r="Y534" t="s">
        <v>69</v>
      </c>
      <c r="Z534" t="s">
        <v>40</v>
      </c>
      <c r="AA534" t="s">
        <v>63</v>
      </c>
    </row>
    <row r="535" spans="1:27" x14ac:dyDescent="0.3">
      <c r="A535" t="s">
        <v>654</v>
      </c>
      <c r="B535" t="s">
        <v>28</v>
      </c>
      <c r="C535">
        <v>23</v>
      </c>
      <c r="D535" t="s">
        <v>65</v>
      </c>
      <c r="E535" t="s">
        <v>120</v>
      </c>
      <c r="F535" t="s">
        <v>31</v>
      </c>
      <c r="G535">
        <v>42966</v>
      </c>
      <c r="H535" s="1">
        <v>44033</v>
      </c>
      <c r="I535" t="s">
        <v>47</v>
      </c>
      <c r="J535" t="s">
        <v>33</v>
      </c>
      <c r="K535" t="s">
        <v>58</v>
      </c>
      <c r="L535">
        <v>4</v>
      </c>
      <c r="M535">
        <v>2</v>
      </c>
      <c r="N535">
        <v>1</v>
      </c>
      <c r="O535" t="s">
        <v>50</v>
      </c>
      <c r="P535" t="s">
        <v>36</v>
      </c>
      <c r="Q535">
        <v>238</v>
      </c>
      <c r="R535">
        <v>75</v>
      </c>
      <c r="S535">
        <v>22</v>
      </c>
      <c r="T535" t="s">
        <v>36</v>
      </c>
      <c r="U535" t="s">
        <v>36</v>
      </c>
      <c r="V535" t="s">
        <v>36</v>
      </c>
      <c r="W535" t="s">
        <v>126</v>
      </c>
      <c r="X535">
        <v>2020</v>
      </c>
      <c r="Y535" t="s">
        <v>79</v>
      </c>
      <c r="Z535" t="s">
        <v>104</v>
      </c>
      <c r="AA535" t="s">
        <v>41</v>
      </c>
    </row>
    <row r="536" spans="1:27" x14ac:dyDescent="0.3">
      <c r="A536" t="s">
        <v>655</v>
      </c>
      <c r="B536" t="s">
        <v>43</v>
      </c>
      <c r="C536">
        <v>27</v>
      </c>
      <c r="D536" t="s">
        <v>77</v>
      </c>
      <c r="E536" t="s">
        <v>133</v>
      </c>
      <c r="F536" t="s">
        <v>31</v>
      </c>
      <c r="G536">
        <v>50195</v>
      </c>
      <c r="H536" s="1">
        <v>44276</v>
      </c>
      <c r="I536" t="s">
        <v>32</v>
      </c>
      <c r="J536" t="s">
        <v>101</v>
      </c>
      <c r="K536" t="s">
        <v>49</v>
      </c>
      <c r="L536">
        <v>3</v>
      </c>
      <c r="M536">
        <v>3</v>
      </c>
      <c r="N536">
        <v>4</v>
      </c>
      <c r="O536" t="s">
        <v>59</v>
      </c>
      <c r="P536" t="s">
        <v>37</v>
      </c>
      <c r="Q536">
        <v>224</v>
      </c>
      <c r="R536">
        <v>59</v>
      </c>
      <c r="S536">
        <v>21</v>
      </c>
      <c r="T536" t="s">
        <v>36</v>
      </c>
      <c r="U536" t="s">
        <v>36</v>
      </c>
      <c r="V536" t="s">
        <v>36</v>
      </c>
      <c r="W536" t="s">
        <v>60</v>
      </c>
      <c r="X536">
        <v>2021</v>
      </c>
      <c r="Y536" t="s">
        <v>142</v>
      </c>
      <c r="Z536" t="s">
        <v>75</v>
      </c>
      <c r="AA536" t="s">
        <v>41</v>
      </c>
    </row>
    <row r="537" spans="1:27" x14ac:dyDescent="0.3">
      <c r="A537" t="s">
        <v>656</v>
      </c>
      <c r="B537" t="s">
        <v>43</v>
      </c>
      <c r="C537">
        <v>32</v>
      </c>
      <c r="D537" t="s">
        <v>54</v>
      </c>
      <c r="E537" t="s">
        <v>55</v>
      </c>
      <c r="F537" t="s">
        <v>96</v>
      </c>
      <c r="G537">
        <v>116177</v>
      </c>
      <c r="H537" s="1">
        <v>44911</v>
      </c>
      <c r="I537" t="s">
        <v>107</v>
      </c>
      <c r="J537" t="s">
        <v>118</v>
      </c>
      <c r="K537" t="s">
        <v>49</v>
      </c>
      <c r="L537">
        <v>17</v>
      </c>
      <c r="M537">
        <v>3</v>
      </c>
      <c r="N537">
        <v>1</v>
      </c>
      <c r="O537" t="s">
        <v>50</v>
      </c>
      <c r="P537" t="s">
        <v>36</v>
      </c>
      <c r="Q537">
        <v>171</v>
      </c>
      <c r="R537">
        <v>55</v>
      </c>
      <c r="S537">
        <v>2</v>
      </c>
      <c r="T537" t="s">
        <v>37</v>
      </c>
      <c r="U537" t="s">
        <v>37</v>
      </c>
      <c r="V537" t="s">
        <v>36</v>
      </c>
      <c r="W537" t="s">
        <v>60</v>
      </c>
      <c r="X537">
        <v>2022</v>
      </c>
      <c r="Y537" t="s">
        <v>116</v>
      </c>
      <c r="Z537" t="s">
        <v>40</v>
      </c>
      <c r="AA537" t="s">
        <v>87</v>
      </c>
    </row>
    <row r="538" spans="1:27" x14ac:dyDescent="0.3">
      <c r="A538" t="s">
        <v>657</v>
      </c>
      <c r="B538" t="s">
        <v>43</v>
      </c>
      <c r="C538">
        <v>25</v>
      </c>
      <c r="D538" t="s">
        <v>77</v>
      </c>
      <c r="E538" t="s">
        <v>138</v>
      </c>
      <c r="F538" t="s">
        <v>46</v>
      </c>
      <c r="G538">
        <v>81077</v>
      </c>
      <c r="H538" s="1">
        <v>44347</v>
      </c>
      <c r="I538" t="s">
        <v>107</v>
      </c>
      <c r="J538" t="s">
        <v>99</v>
      </c>
      <c r="K538" t="s">
        <v>34</v>
      </c>
      <c r="L538">
        <v>6</v>
      </c>
      <c r="M538">
        <v>3</v>
      </c>
      <c r="N538">
        <v>3</v>
      </c>
      <c r="O538" t="s">
        <v>50</v>
      </c>
      <c r="P538" t="s">
        <v>37</v>
      </c>
      <c r="Q538">
        <v>249</v>
      </c>
      <c r="R538">
        <v>32</v>
      </c>
      <c r="S538">
        <v>16</v>
      </c>
      <c r="T538" t="s">
        <v>36</v>
      </c>
      <c r="U538" t="s">
        <v>36</v>
      </c>
      <c r="V538" t="s">
        <v>37</v>
      </c>
      <c r="W538" t="s">
        <v>38</v>
      </c>
      <c r="X538">
        <v>2021</v>
      </c>
      <c r="Y538" t="s">
        <v>74</v>
      </c>
      <c r="Z538" t="s">
        <v>104</v>
      </c>
      <c r="AA538" t="s">
        <v>52</v>
      </c>
    </row>
    <row r="539" spans="1:27" x14ac:dyDescent="0.3">
      <c r="A539" t="s">
        <v>658</v>
      </c>
      <c r="B539" t="s">
        <v>43</v>
      </c>
      <c r="C539">
        <v>29</v>
      </c>
      <c r="D539" t="s">
        <v>44</v>
      </c>
      <c r="E539" t="s">
        <v>219</v>
      </c>
      <c r="F539" t="s">
        <v>96</v>
      </c>
      <c r="G539">
        <v>127173</v>
      </c>
      <c r="H539" s="1">
        <v>44335</v>
      </c>
      <c r="I539" t="s">
        <v>57</v>
      </c>
      <c r="J539" t="s">
        <v>118</v>
      </c>
      <c r="K539" t="s">
        <v>34</v>
      </c>
      <c r="L539">
        <v>17</v>
      </c>
      <c r="M539">
        <v>5</v>
      </c>
      <c r="N539">
        <v>2</v>
      </c>
      <c r="O539" t="s">
        <v>59</v>
      </c>
      <c r="P539" t="s">
        <v>37</v>
      </c>
      <c r="Q539">
        <v>221</v>
      </c>
      <c r="R539">
        <v>45</v>
      </c>
      <c r="S539">
        <v>28</v>
      </c>
      <c r="T539" t="s">
        <v>36</v>
      </c>
      <c r="U539" t="s">
        <v>36</v>
      </c>
      <c r="V539" t="s">
        <v>36</v>
      </c>
      <c r="W539" t="s">
        <v>60</v>
      </c>
      <c r="X539">
        <v>2021</v>
      </c>
      <c r="Y539" t="s">
        <v>74</v>
      </c>
      <c r="Z539" t="s">
        <v>75</v>
      </c>
      <c r="AA539" t="s">
        <v>87</v>
      </c>
    </row>
    <row r="540" spans="1:27" x14ac:dyDescent="0.3">
      <c r="A540" t="s">
        <v>659</v>
      </c>
      <c r="B540" t="s">
        <v>28</v>
      </c>
      <c r="C540">
        <v>39</v>
      </c>
      <c r="D540" t="s">
        <v>29</v>
      </c>
      <c r="E540" t="s">
        <v>122</v>
      </c>
      <c r="F540" t="s">
        <v>96</v>
      </c>
      <c r="G540">
        <v>96133</v>
      </c>
      <c r="H540" s="1">
        <v>45191</v>
      </c>
      <c r="I540" t="s">
        <v>32</v>
      </c>
      <c r="J540" t="s">
        <v>99</v>
      </c>
      <c r="K540" t="s">
        <v>49</v>
      </c>
      <c r="L540">
        <v>12</v>
      </c>
      <c r="M540">
        <v>1</v>
      </c>
      <c r="N540">
        <v>1</v>
      </c>
      <c r="O540" t="s">
        <v>35</v>
      </c>
      <c r="P540" t="s">
        <v>36</v>
      </c>
      <c r="Q540">
        <v>171</v>
      </c>
      <c r="R540">
        <v>78</v>
      </c>
      <c r="S540">
        <v>2</v>
      </c>
      <c r="T540" t="s">
        <v>36</v>
      </c>
      <c r="U540" t="s">
        <v>36</v>
      </c>
      <c r="V540" t="s">
        <v>36</v>
      </c>
      <c r="W540" t="s">
        <v>60</v>
      </c>
      <c r="X540">
        <v>2023</v>
      </c>
      <c r="Y540" t="s">
        <v>51</v>
      </c>
      <c r="Z540" t="s">
        <v>62</v>
      </c>
      <c r="AA540" t="s">
        <v>87</v>
      </c>
    </row>
    <row r="541" spans="1:27" x14ac:dyDescent="0.3">
      <c r="A541" t="s">
        <v>660</v>
      </c>
      <c r="B541" t="s">
        <v>28</v>
      </c>
      <c r="C541">
        <v>27</v>
      </c>
      <c r="D541" t="s">
        <v>77</v>
      </c>
      <c r="E541" t="s">
        <v>182</v>
      </c>
      <c r="F541" t="s">
        <v>56</v>
      </c>
      <c r="G541">
        <v>39055</v>
      </c>
      <c r="H541" s="1">
        <v>43750</v>
      </c>
      <c r="I541" t="s">
        <v>107</v>
      </c>
      <c r="J541" t="s">
        <v>118</v>
      </c>
      <c r="K541" t="s">
        <v>58</v>
      </c>
      <c r="L541">
        <v>0</v>
      </c>
      <c r="M541">
        <v>4</v>
      </c>
      <c r="N541">
        <v>1</v>
      </c>
      <c r="O541" t="s">
        <v>50</v>
      </c>
      <c r="P541" t="s">
        <v>36</v>
      </c>
      <c r="Q541">
        <v>242</v>
      </c>
      <c r="R541">
        <v>68</v>
      </c>
      <c r="S541">
        <v>21</v>
      </c>
      <c r="T541" t="s">
        <v>37</v>
      </c>
      <c r="U541" t="s">
        <v>36</v>
      </c>
      <c r="V541" t="s">
        <v>36</v>
      </c>
      <c r="W541" t="s">
        <v>126</v>
      </c>
      <c r="X541">
        <v>2019</v>
      </c>
      <c r="Y541" t="s">
        <v>83</v>
      </c>
      <c r="Z541" t="s">
        <v>75</v>
      </c>
      <c r="AA541" t="s">
        <v>63</v>
      </c>
    </row>
    <row r="542" spans="1:27" x14ac:dyDescent="0.3">
      <c r="A542" t="s">
        <v>661</v>
      </c>
      <c r="B542" t="s">
        <v>43</v>
      </c>
      <c r="C542">
        <v>37</v>
      </c>
      <c r="D542" t="s">
        <v>89</v>
      </c>
      <c r="E542" t="s">
        <v>130</v>
      </c>
      <c r="F542" t="s">
        <v>56</v>
      </c>
      <c r="G542">
        <v>40252</v>
      </c>
      <c r="H542" s="1">
        <v>43585</v>
      </c>
      <c r="I542" t="s">
        <v>47</v>
      </c>
      <c r="J542" t="s">
        <v>33</v>
      </c>
      <c r="K542" t="s">
        <v>58</v>
      </c>
      <c r="L542">
        <v>0</v>
      </c>
      <c r="M542">
        <v>2</v>
      </c>
      <c r="N542">
        <v>1</v>
      </c>
      <c r="O542" t="s">
        <v>35</v>
      </c>
      <c r="P542" t="s">
        <v>37</v>
      </c>
      <c r="Q542">
        <v>167</v>
      </c>
      <c r="R542">
        <v>29</v>
      </c>
      <c r="S542">
        <v>25</v>
      </c>
      <c r="T542" t="s">
        <v>36</v>
      </c>
      <c r="U542" t="s">
        <v>37</v>
      </c>
      <c r="V542" t="s">
        <v>36</v>
      </c>
      <c r="W542" t="s">
        <v>60</v>
      </c>
      <c r="X542">
        <v>2019</v>
      </c>
      <c r="Y542" t="s">
        <v>69</v>
      </c>
      <c r="Z542" t="s">
        <v>62</v>
      </c>
      <c r="AA542" t="s">
        <v>41</v>
      </c>
    </row>
    <row r="543" spans="1:27" x14ac:dyDescent="0.3">
      <c r="A543" t="s">
        <v>662</v>
      </c>
      <c r="B543" t="s">
        <v>28</v>
      </c>
      <c r="C543">
        <v>24</v>
      </c>
      <c r="D543" t="s">
        <v>81</v>
      </c>
      <c r="E543" t="s">
        <v>201</v>
      </c>
      <c r="F543" t="s">
        <v>56</v>
      </c>
      <c r="G543">
        <v>29572</v>
      </c>
      <c r="H543" s="1">
        <v>43773</v>
      </c>
      <c r="I543" t="s">
        <v>32</v>
      </c>
      <c r="J543" t="s">
        <v>73</v>
      </c>
      <c r="K543" t="s">
        <v>34</v>
      </c>
      <c r="L543">
        <v>2</v>
      </c>
      <c r="M543">
        <v>3</v>
      </c>
      <c r="N543">
        <v>3</v>
      </c>
      <c r="O543" t="s">
        <v>59</v>
      </c>
      <c r="P543" t="s">
        <v>36</v>
      </c>
      <c r="Q543">
        <v>228</v>
      </c>
      <c r="R543">
        <v>20</v>
      </c>
      <c r="S543">
        <v>6</v>
      </c>
      <c r="T543" t="s">
        <v>36</v>
      </c>
      <c r="U543" t="s">
        <v>36</v>
      </c>
      <c r="V543" t="s">
        <v>36</v>
      </c>
      <c r="W543" t="s">
        <v>60</v>
      </c>
      <c r="X543">
        <v>2019</v>
      </c>
      <c r="Y543" t="s">
        <v>123</v>
      </c>
      <c r="Z543" t="s">
        <v>104</v>
      </c>
      <c r="AA543" t="s">
        <v>63</v>
      </c>
    </row>
    <row r="544" spans="1:27" x14ac:dyDescent="0.3">
      <c r="A544" t="s">
        <v>663</v>
      </c>
      <c r="B544" t="s">
        <v>43</v>
      </c>
      <c r="C544">
        <v>35</v>
      </c>
      <c r="D544" t="s">
        <v>89</v>
      </c>
      <c r="E544" t="s">
        <v>203</v>
      </c>
      <c r="F544" t="s">
        <v>31</v>
      </c>
      <c r="G544">
        <v>60936</v>
      </c>
      <c r="H544" s="1">
        <v>46174</v>
      </c>
      <c r="I544" t="s">
        <v>107</v>
      </c>
      <c r="J544" t="s">
        <v>67</v>
      </c>
      <c r="K544" t="s">
        <v>34</v>
      </c>
      <c r="L544">
        <v>5</v>
      </c>
      <c r="M544">
        <v>4</v>
      </c>
      <c r="N544">
        <v>3</v>
      </c>
      <c r="O544" t="s">
        <v>35</v>
      </c>
      <c r="P544" t="s">
        <v>36</v>
      </c>
      <c r="Q544">
        <v>248</v>
      </c>
      <c r="R544">
        <v>50</v>
      </c>
      <c r="S544">
        <v>19</v>
      </c>
      <c r="T544" t="s">
        <v>37</v>
      </c>
      <c r="U544" t="s">
        <v>36</v>
      </c>
      <c r="V544" t="s">
        <v>36</v>
      </c>
      <c r="W544" t="s">
        <v>60</v>
      </c>
      <c r="X544">
        <v>2026</v>
      </c>
      <c r="Y544" t="s">
        <v>61</v>
      </c>
      <c r="Z544" t="s">
        <v>40</v>
      </c>
      <c r="AA544" t="s">
        <v>52</v>
      </c>
    </row>
    <row r="545" spans="1:27" x14ac:dyDescent="0.3">
      <c r="A545" t="s">
        <v>664</v>
      </c>
      <c r="B545" t="s">
        <v>28</v>
      </c>
      <c r="C545">
        <v>42</v>
      </c>
      <c r="D545" t="s">
        <v>54</v>
      </c>
      <c r="E545" t="s">
        <v>55</v>
      </c>
      <c r="F545" t="s">
        <v>56</v>
      </c>
      <c r="G545">
        <v>34962</v>
      </c>
      <c r="H545" s="1">
        <v>46212</v>
      </c>
      <c r="I545" t="s">
        <v>32</v>
      </c>
      <c r="J545" t="s">
        <v>91</v>
      </c>
      <c r="K545" t="s">
        <v>49</v>
      </c>
      <c r="L545">
        <v>0</v>
      </c>
      <c r="M545">
        <v>2</v>
      </c>
      <c r="N545">
        <v>4</v>
      </c>
      <c r="O545" t="s">
        <v>59</v>
      </c>
      <c r="P545" t="s">
        <v>36</v>
      </c>
      <c r="Q545">
        <v>174</v>
      </c>
      <c r="R545">
        <v>24</v>
      </c>
      <c r="S545">
        <v>29</v>
      </c>
      <c r="T545" t="s">
        <v>36</v>
      </c>
      <c r="U545" t="s">
        <v>36</v>
      </c>
      <c r="V545" t="s">
        <v>37</v>
      </c>
      <c r="W545" t="s">
        <v>38</v>
      </c>
      <c r="X545">
        <v>2026</v>
      </c>
      <c r="Y545" t="s">
        <v>79</v>
      </c>
      <c r="Z545" t="s">
        <v>70</v>
      </c>
      <c r="AA545" t="s">
        <v>63</v>
      </c>
    </row>
    <row r="546" spans="1:27" x14ac:dyDescent="0.3">
      <c r="A546" t="s">
        <v>665</v>
      </c>
      <c r="B546" t="s">
        <v>28</v>
      </c>
      <c r="C546">
        <v>21</v>
      </c>
      <c r="D546" t="s">
        <v>85</v>
      </c>
      <c r="E546" t="s">
        <v>168</v>
      </c>
      <c r="F546" t="s">
        <v>46</v>
      </c>
      <c r="G546">
        <v>90269</v>
      </c>
      <c r="H546" s="1">
        <v>46007</v>
      </c>
      <c r="I546" t="s">
        <v>32</v>
      </c>
      <c r="J546" t="s">
        <v>67</v>
      </c>
      <c r="K546" t="s">
        <v>34</v>
      </c>
      <c r="L546">
        <v>12</v>
      </c>
      <c r="M546">
        <v>5</v>
      </c>
      <c r="N546">
        <v>2</v>
      </c>
      <c r="O546" t="s">
        <v>35</v>
      </c>
      <c r="P546" t="s">
        <v>36</v>
      </c>
      <c r="Q546">
        <v>174</v>
      </c>
      <c r="R546">
        <v>23</v>
      </c>
      <c r="S546">
        <v>16</v>
      </c>
      <c r="T546" t="s">
        <v>37</v>
      </c>
      <c r="U546" t="s">
        <v>37</v>
      </c>
      <c r="V546" t="s">
        <v>36</v>
      </c>
      <c r="W546" t="s">
        <v>60</v>
      </c>
      <c r="X546">
        <v>2025</v>
      </c>
      <c r="Y546" t="s">
        <v>116</v>
      </c>
      <c r="Z546" t="s">
        <v>104</v>
      </c>
      <c r="AA546" t="s">
        <v>87</v>
      </c>
    </row>
    <row r="547" spans="1:27" x14ac:dyDescent="0.3">
      <c r="A547" t="s">
        <v>666</v>
      </c>
      <c r="B547" t="s">
        <v>28</v>
      </c>
      <c r="C547">
        <v>26</v>
      </c>
      <c r="D547" t="s">
        <v>29</v>
      </c>
      <c r="E547" t="s">
        <v>122</v>
      </c>
      <c r="F547" t="s">
        <v>31</v>
      </c>
      <c r="G547">
        <v>50741</v>
      </c>
      <c r="H547" s="1">
        <v>45416</v>
      </c>
      <c r="I547" t="s">
        <v>57</v>
      </c>
      <c r="J547" t="s">
        <v>91</v>
      </c>
      <c r="K547" t="s">
        <v>49</v>
      </c>
      <c r="L547">
        <v>2</v>
      </c>
      <c r="M547">
        <v>5</v>
      </c>
      <c r="N547">
        <v>4</v>
      </c>
      <c r="O547" t="s">
        <v>68</v>
      </c>
      <c r="P547" t="s">
        <v>36</v>
      </c>
      <c r="Q547">
        <v>183</v>
      </c>
      <c r="R547">
        <v>24</v>
      </c>
      <c r="S547">
        <v>14</v>
      </c>
      <c r="T547" t="s">
        <v>36</v>
      </c>
      <c r="U547" t="s">
        <v>37</v>
      </c>
      <c r="V547" t="s">
        <v>36</v>
      </c>
      <c r="W547" t="s">
        <v>126</v>
      </c>
      <c r="X547">
        <v>2024</v>
      </c>
      <c r="Y547" t="s">
        <v>74</v>
      </c>
      <c r="Z547" t="s">
        <v>75</v>
      </c>
      <c r="AA547" t="s">
        <v>41</v>
      </c>
    </row>
    <row r="548" spans="1:27" x14ac:dyDescent="0.3">
      <c r="A548" t="s">
        <v>667</v>
      </c>
      <c r="B548" t="s">
        <v>43</v>
      </c>
      <c r="C548">
        <v>36</v>
      </c>
      <c r="D548" t="s">
        <v>29</v>
      </c>
      <c r="E548" t="s">
        <v>122</v>
      </c>
      <c r="F548" t="s">
        <v>46</v>
      </c>
      <c r="G548">
        <v>89233</v>
      </c>
      <c r="H548" s="1">
        <v>43667</v>
      </c>
      <c r="I548" t="s">
        <v>98</v>
      </c>
      <c r="J548" t="s">
        <v>67</v>
      </c>
      <c r="K548" t="s">
        <v>34</v>
      </c>
      <c r="L548">
        <v>6</v>
      </c>
      <c r="M548">
        <v>4</v>
      </c>
      <c r="N548">
        <v>4</v>
      </c>
      <c r="O548" t="s">
        <v>59</v>
      </c>
      <c r="P548" t="s">
        <v>37</v>
      </c>
      <c r="Q548">
        <v>187</v>
      </c>
      <c r="R548">
        <v>71</v>
      </c>
      <c r="S548">
        <v>15</v>
      </c>
      <c r="T548" t="s">
        <v>37</v>
      </c>
      <c r="U548" t="s">
        <v>36</v>
      </c>
      <c r="V548" t="s">
        <v>36</v>
      </c>
      <c r="W548" t="s">
        <v>60</v>
      </c>
      <c r="X548">
        <v>2019</v>
      </c>
      <c r="Y548" t="s">
        <v>79</v>
      </c>
      <c r="Z548" t="s">
        <v>62</v>
      </c>
      <c r="AA548" t="s">
        <v>52</v>
      </c>
    </row>
    <row r="549" spans="1:27" x14ac:dyDescent="0.3">
      <c r="A549" t="s">
        <v>668</v>
      </c>
      <c r="B549" t="s">
        <v>28</v>
      </c>
      <c r="C549">
        <v>30</v>
      </c>
      <c r="D549" t="s">
        <v>54</v>
      </c>
      <c r="E549" t="s">
        <v>111</v>
      </c>
      <c r="F549" t="s">
        <v>56</v>
      </c>
      <c r="G549">
        <v>29741</v>
      </c>
      <c r="H549" s="1">
        <v>45822</v>
      </c>
      <c r="I549" t="s">
        <v>98</v>
      </c>
      <c r="J549" t="s">
        <v>118</v>
      </c>
      <c r="K549" t="s">
        <v>49</v>
      </c>
      <c r="L549">
        <v>0</v>
      </c>
      <c r="M549">
        <v>3</v>
      </c>
      <c r="N549">
        <v>2</v>
      </c>
      <c r="O549" t="s">
        <v>59</v>
      </c>
      <c r="P549" t="s">
        <v>37</v>
      </c>
      <c r="Q549">
        <v>218</v>
      </c>
      <c r="R549">
        <v>17</v>
      </c>
      <c r="S549">
        <v>9</v>
      </c>
      <c r="T549" t="s">
        <v>36</v>
      </c>
      <c r="U549" t="s">
        <v>37</v>
      </c>
      <c r="V549" t="s">
        <v>36</v>
      </c>
      <c r="W549" t="s">
        <v>60</v>
      </c>
      <c r="X549">
        <v>2025</v>
      </c>
      <c r="Y549" t="s">
        <v>61</v>
      </c>
      <c r="Z549" t="s">
        <v>75</v>
      </c>
      <c r="AA549" t="s">
        <v>63</v>
      </c>
    </row>
    <row r="550" spans="1:27" x14ac:dyDescent="0.3">
      <c r="A550" t="s">
        <v>669</v>
      </c>
      <c r="B550" t="s">
        <v>43</v>
      </c>
      <c r="C550">
        <v>34</v>
      </c>
      <c r="D550" t="s">
        <v>44</v>
      </c>
      <c r="E550" t="s">
        <v>115</v>
      </c>
      <c r="F550" t="s">
        <v>31</v>
      </c>
      <c r="G550">
        <v>53391</v>
      </c>
      <c r="H550" s="1">
        <v>44645</v>
      </c>
      <c r="I550" t="s">
        <v>98</v>
      </c>
      <c r="J550" t="s">
        <v>101</v>
      </c>
      <c r="K550" t="s">
        <v>34</v>
      </c>
      <c r="L550">
        <v>7</v>
      </c>
      <c r="M550">
        <v>5</v>
      </c>
      <c r="N550">
        <v>3</v>
      </c>
      <c r="O550" t="s">
        <v>50</v>
      </c>
      <c r="P550" t="s">
        <v>36</v>
      </c>
      <c r="Q550">
        <v>150</v>
      </c>
      <c r="R550">
        <v>35</v>
      </c>
      <c r="S550">
        <v>7</v>
      </c>
      <c r="T550" t="s">
        <v>36</v>
      </c>
      <c r="U550" t="s">
        <v>37</v>
      </c>
      <c r="V550" t="s">
        <v>36</v>
      </c>
      <c r="W550" t="s">
        <v>60</v>
      </c>
      <c r="X550">
        <v>2022</v>
      </c>
      <c r="Y550" t="s">
        <v>142</v>
      </c>
      <c r="Z550" t="s">
        <v>40</v>
      </c>
      <c r="AA550" t="s">
        <v>41</v>
      </c>
    </row>
    <row r="551" spans="1:27" x14ac:dyDescent="0.3">
      <c r="A551" t="s">
        <v>670</v>
      </c>
      <c r="B551" t="s">
        <v>28</v>
      </c>
      <c r="C551">
        <v>27</v>
      </c>
      <c r="D551" t="s">
        <v>85</v>
      </c>
      <c r="E551" t="s">
        <v>151</v>
      </c>
      <c r="F551" t="s">
        <v>96</v>
      </c>
      <c r="G551">
        <v>108590</v>
      </c>
      <c r="H551" s="1">
        <v>46194</v>
      </c>
      <c r="I551" t="s">
        <v>57</v>
      </c>
      <c r="J551" t="s">
        <v>73</v>
      </c>
      <c r="K551" t="s">
        <v>34</v>
      </c>
      <c r="L551">
        <v>8</v>
      </c>
      <c r="M551">
        <v>4</v>
      </c>
      <c r="N551">
        <v>4</v>
      </c>
      <c r="O551" t="s">
        <v>35</v>
      </c>
      <c r="P551" t="s">
        <v>36</v>
      </c>
      <c r="Q551">
        <v>152</v>
      </c>
      <c r="R551">
        <v>50</v>
      </c>
      <c r="S551">
        <v>17</v>
      </c>
      <c r="T551" t="s">
        <v>36</v>
      </c>
      <c r="U551" t="s">
        <v>36</v>
      </c>
      <c r="V551" t="s">
        <v>36</v>
      </c>
      <c r="W551" t="s">
        <v>60</v>
      </c>
      <c r="X551">
        <v>2026</v>
      </c>
      <c r="Y551" t="s">
        <v>61</v>
      </c>
      <c r="Z551" t="s">
        <v>75</v>
      </c>
      <c r="AA551" t="s">
        <v>87</v>
      </c>
    </row>
    <row r="552" spans="1:27" x14ac:dyDescent="0.3">
      <c r="A552" t="s">
        <v>671</v>
      </c>
      <c r="B552" t="s">
        <v>43</v>
      </c>
      <c r="C552">
        <v>32</v>
      </c>
      <c r="D552" t="s">
        <v>44</v>
      </c>
      <c r="E552" t="s">
        <v>45</v>
      </c>
      <c r="F552" t="s">
        <v>56</v>
      </c>
      <c r="G552">
        <v>29480</v>
      </c>
      <c r="H552" s="1">
        <v>45789</v>
      </c>
      <c r="I552" t="s">
        <v>57</v>
      </c>
      <c r="J552" t="s">
        <v>48</v>
      </c>
      <c r="K552" t="s">
        <v>49</v>
      </c>
      <c r="L552">
        <v>0</v>
      </c>
      <c r="M552">
        <v>3</v>
      </c>
      <c r="N552">
        <v>2</v>
      </c>
      <c r="O552" t="s">
        <v>50</v>
      </c>
      <c r="P552" t="s">
        <v>36</v>
      </c>
      <c r="Q552">
        <v>214</v>
      </c>
      <c r="R552">
        <v>62</v>
      </c>
      <c r="S552">
        <v>17</v>
      </c>
      <c r="T552" t="s">
        <v>36</v>
      </c>
      <c r="U552" t="s">
        <v>36</v>
      </c>
      <c r="V552" t="s">
        <v>36</v>
      </c>
      <c r="W552" t="s">
        <v>60</v>
      </c>
      <c r="X552">
        <v>2025</v>
      </c>
      <c r="Y552" t="s">
        <v>74</v>
      </c>
      <c r="Z552" t="s">
        <v>40</v>
      </c>
      <c r="AA552" t="s">
        <v>63</v>
      </c>
    </row>
    <row r="553" spans="1:27" x14ac:dyDescent="0.3">
      <c r="A553" t="s">
        <v>672</v>
      </c>
      <c r="B553" t="s">
        <v>43</v>
      </c>
      <c r="C553">
        <v>30</v>
      </c>
      <c r="D553" t="s">
        <v>89</v>
      </c>
      <c r="E553" t="s">
        <v>144</v>
      </c>
      <c r="F553" t="s">
        <v>46</v>
      </c>
      <c r="G553">
        <v>95064</v>
      </c>
      <c r="H553" s="1">
        <v>44910</v>
      </c>
      <c r="I553" t="s">
        <v>98</v>
      </c>
      <c r="J553" t="s">
        <v>99</v>
      </c>
      <c r="K553" t="s">
        <v>58</v>
      </c>
      <c r="L553">
        <v>5</v>
      </c>
      <c r="M553">
        <v>3</v>
      </c>
      <c r="N553">
        <v>3</v>
      </c>
      <c r="O553" t="s">
        <v>59</v>
      </c>
      <c r="P553" t="s">
        <v>36</v>
      </c>
      <c r="Q553">
        <v>249</v>
      </c>
      <c r="R553">
        <v>33</v>
      </c>
      <c r="S553">
        <v>23</v>
      </c>
      <c r="T553" t="s">
        <v>37</v>
      </c>
      <c r="U553" t="s">
        <v>36</v>
      </c>
      <c r="V553" t="s">
        <v>37</v>
      </c>
      <c r="W553" t="s">
        <v>38</v>
      </c>
      <c r="X553">
        <v>2022</v>
      </c>
      <c r="Y553" t="s">
        <v>116</v>
      </c>
      <c r="Z553" t="s">
        <v>75</v>
      </c>
      <c r="AA553" t="s">
        <v>87</v>
      </c>
    </row>
    <row r="554" spans="1:27" x14ac:dyDescent="0.3">
      <c r="A554" t="s">
        <v>673</v>
      </c>
      <c r="B554" t="s">
        <v>43</v>
      </c>
      <c r="C554">
        <v>40</v>
      </c>
      <c r="D554" t="s">
        <v>89</v>
      </c>
      <c r="E554" t="s">
        <v>203</v>
      </c>
      <c r="F554" t="s">
        <v>31</v>
      </c>
      <c r="G554">
        <v>60926</v>
      </c>
      <c r="H554" s="1">
        <v>45230</v>
      </c>
      <c r="I554" t="s">
        <v>47</v>
      </c>
      <c r="J554" t="s">
        <v>48</v>
      </c>
      <c r="K554" t="s">
        <v>49</v>
      </c>
      <c r="L554">
        <v>7</v>
      </c>
      <c r="M554">
        <v>3</v>
      </c>
      <c r="N554">
        <v>2</v>
      </c>
      <c r="O554" t="s">
        <v>59</v>
      </c>
      <c r="P554" t="s">
        <v>36</v>
      </c>
      <c r="Q554">
        <v>161</v>
      </c>
      <c r="R554">
        <v>72</v>
      </c>
      <c r="S554">
        <v>7</v>
      </c>
      <c r="T554" t="s">
        <v>36</v>
      </c>
      <c r="U554" t="s">
        <v>36</v>
      </c>
      <c r="V554" t="s">
        <v>36</v>
      </c>
      <c r="W554" t="s">
        <v>60</v>
      </c>
      <c r="X554">
        <v>2023</v>
      </c>
      <c r="Y554" t="s">
        <v>83</v>
      </c>
      <c r="Z554" t="s">
        <v>62</v>
      </c>
      <c r="AA554" t="s">
        <v>52</v>
      </c>
    </row>
    <row r="555" spans="1:27" x14ac:dyDescent="0.3">
      <c r="A555" t="s">
        <v>674</v>
      </c>
      <c r="B555" t="s">
        <v>43</v>
      </c>
      <c r="C555">
        <v>33</v>
      </c>
      <c r="D555" t="s">
        <v>77</v>
      </c>
      <c r="E555" t="s">
        <v>133</v>
      </c>
      <c r="F555" t="s">
        <v>46</v>
      </c>
      <c r="G555">
        <v>85271</v>
      </c>
      <c r="H555" s="1">
        <v>43634</v>
      </c>
      <c r="I555" t="s">
        <v>47</v>
      </c>
      <c r="J555" t="s">
        <v>91</v>
      </c>
      <c r="K555" t="s">
        <v>49</v>
      </c>
      <c r="L555">
        <v>8</v>
      </c>
      <c r="M555">
        <v>5</v>
      </c>
      <c r="N555">
        <v>5</v>
      </c>
      <c r="O555" t="s">
        <v>35</v>
      </c>
      <c r="P555" t="s">
        <v>36</v>
      </c>
      <c r="Q555">
        <v>193</v>
      </c>
      <c r="R555">
        <v>6</v>
      </c>
      <c r="S555">
        <v>17</v>
      </c>
      <c r="T555" t="s">
        <v>36</v>
      </c>
      <c r="U555" t="s">
        <v>37</v>
      </c>
      <c r="V555" t="s">
        <v>36</v>
      </c>
      <c r="W555" t="s">
        <v>60</v>
      </c>
      <c r="X555">
        <v>2019</v>
      </c>
      <c r="Y555" t="s">
        <v>61</v>
      </c>
      <c r="Z555" t="s">
        <v>40</v>
      </c>
      <c r="AA555" t="s">
        <v>52</v>
      </c>
    </row>
    <row r="556" spans="1:27" x14ac:dyDescent="0.3">
      <c r="A556" t="s">
        <v>675</v>
      </c>
      <c r="B556" t="s">
        <v>43</v>
      </c>
      <c r="C556">
        <v>34</v>
      </c>
      <c r="D556" t="s">
        <v>85</v>
      </c>
      <c r="E556" t="s">
        <v>151</v>
      </c>
      <c r="F556" t="s">
        <v>31</v>
      </c>
      <c r="G556">
        <v>51949</v>
      </c>
      <c r="H556" s="1">
        <v>44646</v>
      </c>
      <c r="I556" t="s">
        <v>98</v>
      </c>
      <c r="J556" t="s">
        <v>48</v>
      </c>
      <c r="K556" t="s">
        <v>58</v>
      </c>
      <c r="L556">
        <v>5</v>
      </c>
      <c r="M556">
        <v>1</v>
      </c>
      <c r="N556">
        <v>3</v>
      </c>
      <c r="O556" t="s">
        <v>59</v>
      </c>
      <c r="P556" t="s">
        <v>37</v>
      </c>
      <c r="Q556">
        <v>208</v>
      </c>
      <c r="R556">
        <v>44</v>
      </c>
      <c r="S556">
        <v>2</v>
      </c>
      <c r="T556" t="s">
        <v>36</v>
      </c>
      <c r="U556" t="s">
        <v>37</v>
      </c>
      <c r="V556" t="s">
        <v>36</v>
      </c>
      <c r="W556" t="s">
        <v>60</v>
      </c>
      <c r="X556">
        <v>2022</v>
      </c>
      <c r="Y556" t="s">
        <v>142</v>
      </c>
      <c r="Z556" t="s">
        <v>40</v>
      </c>
      <c r="AA556" t="s">
        <v>41</v>
      </c>
    </row>
    <row r="557" spans="1:27" x14ac:dyDescent="0.3">
      <c r="A557" t="s">
        <v>676</v>
      </c>
      <c r="B557" t="s">
        <v>28</v>
      </c>
      <c r="C557">
        <v>29</v>
      </c>
      <c r="D557" t="s">
        <v>29</v>
      </c>
      <c r="E557" t="s">
        <v>30</v>
      </c>
      <c r="F557" t="s">
        <v>31</v>
      </c>
      <c r="G557">
        <v>53475</v>
      </c>
      <c r="H557" s="1">
        <v>45522</v>
      </c>
      <c r="I557" t="s">
        <v>32</v>
      </c>
      <c r="J557" t="s">
        <v>118</v>
      </c>
      <c r="K557" t="s">
        <v>34</v>
      </c>
      <c r="L557">
        <v>4</v>
      </c>
      <c r="M557">
        <v>5</v>
      </c>
      <c r="N557">
        <v>2</v>
      </c>
      <c r="O557" t="s">
        <v>35</v>
      </c>
      <c r="P557" t="s">
        <v>37</v>
      </c>
      <c r="Q557">
        <v>241</v>
      </c>
      <c r="R557">
        <v>42</v>
      </c>
      <c r="S557">
        <v>9</v>
      </c>
      <c r="T557" t="s">
        <v>37</v>
      </c>
      <c r="U557" t="s">
        <v>36</v>
      </c>
      <c r="V557" t="s">
        <v>37</v>
      </c>
      <c r="W557" t="s">
        <v>38</v>
      </c>
      <c r="X557">
        <v>2024</v>
      </c>
      <c r="Y557" t="s">
        <v>128</v>
      </c>
      <c r="Z557" t="s">
        <v>75</v>
      </c>
      <c r="AA557" t="s">
        <v>41</v>
      </c>
    </row>
    <row r="558" spans="1:27" x14ac:dyDescent="0.3">
      <c r="A558" t="s">
        <v>677</v>
      </c>
      <c r="B558" t="s">
        <v>43</v>
      </c>
      <c r="C558">
        <v>28</v>
      </c>
      <c r="D558" t="s">
        <v>65</v>
      </c>
      <c r="E558" t="s">
        <v>147</v>
      </c>
      <c r="F558" t="s">
        <v>96</v>
      </c>
      <c r="G558">
        <v>145386</v>
      </c>
      <c r="H558" s="1">
        <v>43867</v>
      </c>
      <c r="I558" t="s">
        <v>107</v>
      </c>
      <c r="J558" t="s">
        <v>73</v>
      </c>
      <c r="K558" t="s">
        <v>34</v>
      </c>
      <c r="L558">
        <v>14</v>
      </c>
      <c r="M558">
        <v>3</v>
      </c>
      <c r="N558">
        <v>3</v>
      </c>
      <c r="O558" t="s">
        <v>68</v>
      </c>
      <c r="P558" t="s">
        <v>36</v>
      </c>
      <c r="Q558">
        <v>189</v>
      </c>
      <c r="R558">
        <v>37</v>
      </c>
      <c r="S558">
        <v>6</v>
      </c>
      <c r="T558" t="s">
        <v>36</v>
      </c>
      <c r="U558" t="s">
        <v>36</v>
      </c>
      <c r="V558" t="s">
        <v>36</v>
      </c>
      <c r="W558" t="s">
        <v>60</v>
      </c>
      <c r="X558">
        <v>2020</v>
      </c>
      <c r="Y558" t="s">
        <v>39</v>
      </c>
      <c r="Z558" t="s">
        <v>75</v>
      </c>
      <c r="AA558" t="s">
        <v>105</v>
      </c>
    </row>
    <row r="559" spans="1:27" x14ac:dyDescent="0.3">
      <c r="A559" t="s">
        <v>678</v>
      </c>
      <c r="B559" t="s">
        <v>43</v>
      </c>
      <c r="C559">
        <v>28</v>
      </c>
      <c r="D559" t="s">
        <v>81</v>
      </c>
      <c r="E559" t="s">
        <v>201</v>
      </c>
      <c r="F559" t="s">
        <v>46</v>
      </c>
      <c r="G559">
        <v>102136</v>
      </c>
      <c r="H559" s="1">
        <v>45701</v>
      </c>
      <c r="I559" t="s">
        <v>107</v>
      </c>
      <c r="J559" t="s">
        <v>91</v>
      </c>
      <c r="K559" t="s">
        <v>49</v>
      </c>
      <c r="L559">
        <v>12</v>
      </c>
      <c r="M559">
        <v>2</v>
      </c>
      <c r="N559">
        <v>4</v>
      </c>
      <c r="O559" t="s">
        <v>50</v>
      </c>
      <c r="P559" t="s">
        <v>36</v>
      </c>
      <c r="Q559">
        <v>162</v>
      </c>
      <c r="R559">
        <v>59</v>
      </c>
      <c r="S559">
        <v>16</v>
      </c>
      <c r="T559" t="s">
        <v>36</v>
      </c>
      <c r="U559" t="s">
        <v>36</v>
      </c>
      <c r="V559" t="s">
        <v>36</v>
      </c>
      <c r="W559" t="s">
        <v>126</v>
      </c>
      <c r="X559">
        <v>2025</v>
      </c>
      <c r="Y559" t="s">
        <v>39</v>
      </c>
      <c r="Z559" t="s">
        <v>75</v>
      </c>
      <c r="AA559" t="s">
        <v>87</v>
      </c>
    </row>
    <row r="560" spans="1:27" x14ac:dyDescent="0.3">
      <c r="A560" t="s">
        <v>679</v>
      </c>
      <c r="B560" t="s">
        <v>43</v>
      </c>
      <c r="C560">
        <v>34</v>
      </c>
      <c r="D560" t="s">
        <v>29</v>
      </c>
      <c r="E560" t="s">
        <v>103</v>
      </c>
      <c r="F560" t="s">
        <v>96</v>
      </c>
      <c r="G560">
        <v>101590</v>
      </c>
      <c r="H560" s="1">
        <v>44041</v>
      </c>
      <c r="I560" t="s">
        <v>98</v>
      </c>
      <c r="J560" t="s">
        <v>67</v>
      </c>
      <c r="K560" t="s">
        <v>58</v>
      </c>
      <c r="L560">
        <v>20</v>
      </c>
      <c r="M560">
        <v>5</v>
      </c>
      <c r="N560">
        <v>3</v>
      </c>
      <c r="O560" t="s">
        <v>59</v>
      </c>
      <c r="P560" t="s">
        <v>37</v>
      </c>
      <c r="Q560">
        <v>224</v>
      </c>
      <c r="R560">
        <v>21</v>
      </c>
      <c r="S560">
        <v>14</v>
      </c>
      <c r="T560" t="s">
        <v>36</v>
      </c>
      <c r="U560" t="s">
        <v>36</v>
      </c>
      <c r="V560" t="s">
        <v>37</v>
      </c>
      <c r="W560" t="s">
        <v>38</v>
      </c>
      <c r="X560">
        <v>2020</v>
      </c>
      <c r="Y560" t="s">
        <v>79</v>
      </c>
      <c r="Z560" t="s">
        <v>40</v>
      </c>
      <c r="AA560" t="s">
        <v>87</v>
      </c>
    </row>
    <row r="561" spans="1:27" x14ac:dyDescent="0.3">
      <c r="A561" t="s">
        <v>680</v>
      </c>
      <c r="B561" t="s">
        <v>28</v>
      </c>
      <c r="C561">
        <v>29</v>
      </c>
      <c r="D561" t="s">
        <v>89</v>
      </c>
      <c r="E561" t="s">
        <v>130</v>
      </c>
      <c r="F561" t="s">
        <v>56</v>
      </c>
      <c r="G561">
        <v>30774</v>
      </c>
      <c r="H561" s="1">
        <v>44572</v>
      </c>
      <c r="I561" t="s">
        <v>107</v>
      </c>
      <c r="J561" t="s">
        <v>99</v>
      </c>
      <c r="K561" t="s">
        <v>58</v>
      </c>
      <c r="L561">
        <v>0</v>
      </c>
      <c r="M561">
        <v>1</v>
      </c>
      <c r="N561">
        <v>3</v>
      </c>
      <c r="O561" t="s">
        <v>35</v>
      </c>
      <c r="P561" t="s">
        <v>36</v>
      </c>
      <c r="Q561">
        <v>162</v>
      </c>
      <c r="R561">
        <v>31</v>
      </c>
      <c r="S561">
        <v>18</v>
      </c>
      <c r="T561" t="s">
        <v>37</v>
      </c>
      <c r="U561" t="s">
        <v>36</v>
      </c>
      <c r="V561" t="s">
        <v>36</v>
      </c>
      <c r="W561" t="s">
        <v>126</v>
      </c>
      <c r="X561">
        <v>2022</v>
      </c>
      <c r="Y561" t="s">
        <v>94</v>
      </c>
      <c r="Z561" t="s">
        <v>75</v>
      </c>
      <c r="AA561" t="s">
        <v>63</v>
      </c>
    </row>
    <row r="562" spans="1:27" x14ac:dyDescent="0.3">
      <c r="A562" t="s">
        <v>681</v>
      </c>
      <c r="B562" t="s">
        <v>28</v>
      </c>
      <c r="C562">
        <v>34</v>
      </c>
      <c r="D562" t="s">
        <v>44</v>
      </c>
      <c r="E562" t="s">
        <v>115</v>
      </c>
      <c r="F562" t="s">
        <v>46</v>
      </c>
      <c r="G562">
        <v>106172</v>
      </c>
      <c r="H562" s="1">
        <v>43492</v>
      </c>
      <c r="I562" t="s">
        <v>32</v>
      </c>
      <c r="J562" t="s">
        <v>48</v>
      </c>
      <c r="K562" t="s">
        <v>34</v>
      </c>
      <c r="L562">
        <v>9</v>
      </c>
      <c r="M562">
        <v>4</v>
      </c>
      <c r="N562">
        <v>5</v>
      </c>
      <c r="O562" t="s">
        <v>35</v>
      </c>
      <c r="P562" t="s">
        <v>36</v>
      </c>
      <c r="Q562">
        <v>175</v>
      </c>
      <c r="R562">
        <v>36</v>
      </c>
      <c r="S562">
        <v>8</v>
      </c>
      <c r="T562" t="s">
        <v>37</v>
      </c>
      <c r="U562" t="s">
        <v>37</v>
      </c>
      <c r="V562" t="s">
        <v>36</v>
      </c>
      <c r="W562" t="s">
        <v>126</v>
      </c>
      <c r="X562">
        <v>2019</v>
      </c>
      <c r="Y562" t="s">
        <v>94</v>
      </c>
      <c r="Z562" t="s">
        <v>40</v>
      </c>
      <c r="AA562" t="s">
        <v>87</v>
      </c>
    </row>
    <row r="563" spans="1:27" x14ac:dyDescent="0.3">
      <c r="A563" t="s">
        <v>682</v>
      </c>
      <c r="B563" t="s">
        <v>28</v>
      </c>
      <c r="C563">
        <v>46</v>
      </c>
      <c r="D563" t="s">
        <v>89</v>
      </c>
      <c r="E563" t="s">
        <v>130</v>
      </c>
      <c r="F563" t="s">
        <v>56</v>
      </c>
      <c r="G563">
        <v>31991</v>
      </c>
      <c r="H563" s="1">
        <v>45123</v>
      </c>
      <c r="I563" t="s">
        <v>47</v>
      </c>
      <c r="J563" t="s">
        <v>48</v>
      </c>
      <c r="K563" t="s">
        <v>49</v>
      </c>
      <c r="L563">
        <v>2</v>
      </c>
      <c r="M563">
        <v>4</v>
      </c>
      <c r="N563">
        <v>2</v>
      </c>
      <c r="O563" t="s">
        <v>68</v>
      </c>
      <c r="P563" t="s">
        <v>37</v>
      </c>
      <c r="Q563">
        <v>257</v>
      </c>
      <c r="R563">
        <v>7</v>
      </c>
      <c r="S563">
        <v>7</v>
      </c>
      <c r="T563" t="s">
        <v>37</v>
      </c>
      <c r="U563" t="s">
        <v>36</v>
      </c>
      <c r="V563" t="s">
        <v>36</v>
      </c>
      <c r="W563" t="s">
        <v>60</v>
      </c>
      <c r="X563">
        <v>2023</v>
      </c>
      <c r="Y563" t="s">
        <v>79</v>
      </c>
      <c r="Z563" t="s">
        <v>70</v>
      </c>
      <c r="AA563" t="s">
        <v>63</v>
      </c>
    </row>
    <row r="564" spans="1:27" x14ac:dyDescent="0.3">
      <c r="A564" t="s">
        <v>683</v>
      </c>
      <c r="B564" t="s">
        <v>28</v>
      </c>
      <c r="C564">
        <v>38</v>
      </c>
      <c r="D564" t="s">
        <v>44</v>
      </c>
      <c r="E564" t="s">
        <v>45</v>
      </c>
      <c r="F564" t="s">
        <v>96</v>
      </c>
      <c r="G564">
        <v>128015</v>
      </c>
      <c r="H564" s="1">
        <v>46200</v>
      </c>
      <c r="I564" t="s">
        <v>57</v>
      </c>
      <c r="J564" t="s">
        <v>101</v>
      </c>
      <c r="K564" t="s">
        <v>49</v>
      </c>
      <c r="L564">
        <v>12</v>
      </c>
      <c r="M564">
        <v>1</v>
      </c>
      <c r="N564">
        <v>5</v>
      </c>
      <c r="O564" t="s">
        <v>59</v>
      </c>
      <c r="P564" t="s">
        <v>36</v>
      </c>
      <c r="Q564">
        <v>197</v>
      </c>
      <c r="R564">
        <v>23</v>
      </c>
      <c r="S564">
        <v>2</v>
      </c>
      <c r="T564" t="s">
        <v>36</v>
      </c>
      <c r="U564" t="s">
        <v>36</v>
      </c>
      <c r="V564" t="s">
        <v>36</v>
      </c>
      <c r="W564" t="s">
        <v>126</v>
      </c>
      <c r="X564">
        <v>2026</v>
      </c>
      <c r="Y564" t="s">
        <v>61</v>
      </c>
      <c r="Z564" t="s">
        <v>62</v>
      </c>
      <c r="AA564" t="s">
        <v>87</v>
      </c>
    </row>
    <row r="565" spans="1:27" x14ac:dyDescent="0.3">
      <c r="A565" t="s">
        <v>684</v>
      </c>
      <c r="B565" t="s">
        <v>28</v>
      </c>
      <c r="C565">
        <v>29</v>
      </c>
      <c r="D565" t="s">
        <v>77</v>
      </c>
      <c r="E565" t="s">
        <v>182</v>
      </c>
      <c r="F565" t="s">
        <v>46</v>
      </c>
      <c r="G565">
        <v>67233</v>
      </c>
      <c r="H565" s="1">
        <v>45286</v>
      </c>
      <c r="I565" t="s">
        <v>32</v>
      </c>
      <c r="J565" t="s">
        <v>91</v>
      </c>
      <c r="K565" t="s">
        <v>34</v>
      </c>
      <c r="L565">
        <v>14</v>
      </c>
      <c r="M565">
        <v>1</v>
      </c>
      <c r="N565">
        <v>3</v>
      </c>
      <c r="O565" t="s">
        <v>68</v>
      </c>
      <c r="P565" t="s">
        <v>37</v>
      </c>
      <c r="Q565">
        <v>209</v>
      </c>
      <c r="R565">
        <v>49</v>
      </c>
      <c r="S565">
        <v>30</v>
      </c>
      <c r="T565" t="s">
        <v>36</v>
      </c>
      <c r="U565" t="s">
        <v>36</v>
      </c>
      <c r="V565" t="s">
        <v>36</v>
      </c>
      <c r="W565" t="s">
        <v>126</v>
      </c>
      <c r="X565">
        <v>2023</v>
      </c>
      <c r="Y565" t="s">
        <v>116</v>
      </c>
      <c r="Z565" t="s">
        <v>75</v>
      </c>
      <c r="AA565" t="s">
        <v>52</v>
      </c>
    </row>
    <row r="566" spans="1:27" x14ac:dyDescent="0.3">
      <c r="A566" t="s">
        <v>685</v>
      </c>
      <c r="B566" t="s">
        <v>28</v>
      </c>
      <c r="C566">
        <v>40</v>
      </c>
      <c r="D566" t="s">
        <v>85</v>
      </c>
      <c r="E566" t="s">
        <v>168</v>
      </c>
      <c r="F566" t="s">
        <v>46</v>
      </c>
      <c r="G566">
        <v>107987</v>
      </c>
      <c r="H566" s="1">
        <v>44855</v>
      </c>
      <c r="I566" t="s">
        <v>57</v>
      </c>
      <c r="J566" t="s">
        <v>101</v>
      </c>
      <c r="K566" t="s">
        <v>49</v>
      </c>
      <c r="L566">
        <v>14</v>
      </c>
      <c r="M566">
        <v>4</v>
      </c>
      <c r="N566">
        <v>2</v>
      </c>
      <c r="O566" t="s">
        <v>59</v>
      </c>
      <c r="P566" t="s">
        <v>36</v>
      </c>
      <c r="Q566">
        <v>250</v>
      </c>
      <c r="R566">
        <v>28</v>
      </c>
      <c r="S566">
        <v>20</v>
      </c>
      <c r="T566" t="s">
        <v>36</v>
      </c>
      <c r="U566" t="s">
        <v>36</v>
      </c>
      <c r="V566" t="s">
        <v>36</v>
      </c>
      <c r="W566" t="s">
        <v>60</v>
      </c>
      <c r="X566">
        <v>2022</v>
      </c>
      <c r="Y566" t="s">
        <v>83</v>
      </c>
      <c r="Z566" t="s">
        <v>62</v>
      </c>
      <c r="AA566" t="s">
        <v>87</v>
      </c>
    </row>
    <row r="567" spans="1:27" x14ac:dyDescent="0.3">
      <c r="A567" t="s">
        <v>686</v>
      </c>
      <c r="B567" t="s">
        <v>28</v>
      </c>
      <c r="C567">
        <v>29</v>
      </c>
      <c r="D567" t="s">
        <v>65</v>
      </c>
      <c r="E567" t="s">
        <v>66</v>
      </c>
      <c r="F567" t="s">
        <v>96</v>
      </c>
      <c r="G567">
        <v>98856</v>
      </c>
      <c r="H567" s="1">
        <v>43586</v>
      </c>
      <c r="I567" t="s">
        <v>47</v>
      </c>
      <c r="J567" t="s">
        <v>91</v>
      </c>
      <c r="K567" t="s">
        <v>58</v>
      </c>
      <c r="L567">
        <v>8</v>
      </c>
      <c r="M567">
        <v>2</v>
      </c>
      <c r="N567">
        <v>2</v>
      </c>
      <c r="O567" t="s">
        <v>68</v>
      </c>
      <c r="P567" t="s">
        <v>37</v>
      </c>
      <c r="Q567">
        <v>235</v>
      </c>
      <c r="R567">
        <v>18</v>
      </c>
      <c r="S567">
        <v>30</v>
      </c>
      <c r="T567" t="s">
        <v>37</v>
      </c>
      <c r="U567" t="s">
        <v>37</v>
      </c>
      <c r="V567" t="s">
        <v>36</v>
      </c>
      <c r="W567" t="s">
        <v>126</v>
      </c>
      <c r="X567">
        <v>2019</v>
      </c>
      <c r="Y567" t="s">
        <v>74</v>
      </c>
      <c r="Z567" t="s">
        <v>75</v>
      </c>
      <c r="AA567" t="s">
        <v>87</v>
      </c>
    </row>
    <row r="568" spans="1:27" x14ac:dyDescent="0.3">
      <c r="A568" t="s">
        <v>687</v>
      </c>
      <c r="B568" t="s">
        <v>43</v>
      </c>
      <c r="C568">
        <v>21</v>
      </c>
      <c r="D568" t="s">
        <v>54</v>
      </c>
      <c r="E568" t="s">
        <v>153</v>
      </c>
      <c r="F568" t="s">
        <v>46</v>
      </c>
      <c r="G568">
        <v>72502</v>
      </c>
      <c r="H568" s="1">
        <v>43764</v>
      </c>
      <c r="I568" t="s">
        <v>107</v>
      </c>
      <c r="J568" t="s">
        <v>48</v>
      </c>
      <c r="K568" t="s">
        <v>34</v>
      </c>
      <c r="L568">
        <v>5</v>
      </c>
      <c r="M568">
        <v>4</v>
      </c>
      <c r="N568">
        <v>3</v>
      </c>
      <c r="O568" t="s">
        <v>59</v>
      </c>
      <c r="P568" t="s">
        <v>36</v>
      </c>
      <c r="Q568">
        <v>230</v>
      </c>
      <c r="R568">
        <v>53</v>
      </c>
      <c r="S568">
        <v>6</v>
      </c>
      <c r="T568" t="s">
        <v>36</v>
      </c>
      <c r="U568" t="s">
        <v>37</v>
      </c>
      <c r="V568" t="s">
        <v>36</v>
      </c>
      <c r="W568" t="s">
        <v>60</v>
      </c>
      <c r="X568">
        <v>2019</v>
      </c>
      <c r="Y568" t="s">
        <v>83</v>
      </c>
      <c r="Z568" t="s">
        <v>104</v>
      </c>
      <c r="AA568" t="s">
        <v>52</v>
      </c>
    </row>
    <row r="569" spans="1:27" x14ac:dyDescent="0.3">
      <c r="A569" t="s">
        <v>688</v>
      </c>
      <c r="B569" t="s">
        <v>28</v>
      </c>
      <c r="C569">
        <v>24</v>
      </c>
      <c r="D569" t="s">
        <v>81</v>
      </c>
      <c r="E569" t="s">
        <v>165</v>
      </c>
      <c r="F569" t="s">
        <v>96</v>
      </c>
      <c r="G569">
        <v>127498</v>
      </c>
      <c r="H569" s="1">
        <v>44290</v>
      </c>
      <c r="I569" t="s">
        <v>57</v>
      </c>
      <c r="J569" t="s">
        <v>48</v>
      </c>
      <c r="K569" t="s">
        <v>58</v>
      </c>
      <c r="L569">
        <v>11</v>
      </c>
      <c r="M569">
        <v>2</v>
      </c>
      <c r="N569">
        <v>4</v>
      </c>
      <c r="O569" t="s">
        <v>35</v>
      </c>
      <c r="P569" t="s">
        <v>36</v>
      </c>
      <c r="Q569">
        <v>253</v>
      </c>
      <c r="R569">
        <v>22</v>
      </c>
      <c r="S569">
        <v>30</v>
      </c>
      <c r="T569" t="s">
        <v>37</v>
      </c>
      <c r="U569" t="s">
        <v>36</v>
      </c>
      <c r="V569" t="s">
        <v>37</v>
      </c>
      <c r="W569" t="s">
        <v>38</v>
      </c>
      <c r="X569">
        <v>2021</v>
      </c>
      <c r="Y569" t="s">
        <v>69</v>
      </c>
      <c r="Z569" t="s">
        <v>104</v>
      </c>
      <c r="AA569" t="s">
        <v>87</v>
      </c>
    </row>
    <row r="570" spans="1:27" x14ac:dyDescent="0.3">
      <c r="A570" t="s">
        <v>689</v>
      </c>
      <c r="B570" t="s">
        <v>43</v>
      </c>
      <c r="C570">
        <v>21</v>
      </c>
      <c r="D570" t="s">
        <v>77</v>
      </c>
      <c r="E570" t="s">
        <v>182</v>
      </c>
      <c r="F570" t="s">
        <v>46</v>
      </c>
      <c r="G570">
        <v>77144</v>
      </c>
      <c r="H570" s="1">
        <v>45498</v>
      </c>
      <c r="I570" t="s">
        <v>107</v>
      </c>
      <c r="J570" t="s">
        <v>73</v>
      </c>
      <c r="K570" t="s">
        <v>58</v>
      </c>
      <c r="L570">
        <v>13</v>
      </c>
      <c r="M570">
        <v>2</v>
      </c>
      <c r="N570">
        <v>2</v>
      </c>
      <c r="O570" t="s">
        <v>59</v>
      </c>
      <c r="P570" t="s">
        <v>36</v>
      </c>
      <c r="Q570">
        <v>255</v>
      </c>
      <c r="R570">
        <v>59</v>
      </c>
      <c r="S570">
        <v>22</v>
      </c>
      <c r="T570" t="s">
        <v>36</v>
      </c>
      <c r="U570" t="s">
        <v>36</v>
      </c>
      <c r="V570" t="s">
        <v>36</v>
      </c>
      <c r="W570" t="s">
        <v>60</v>
      </c>
      <c r="X570">
        <v>2024</v>
      </c>
      <c r="Y570" t="s">
        <v>79</v>
      </c>
      <c r="Z570" t="s">
        <v>104</v>
      </c>
      <c r="AA570" t="s">
        <v>52</v>
      </c>
    </row>
    <row r="571" spans="1:27" x14ac:dyDescent="0.3">
      <c r="A571" t="s">
        <v>690</v>
      </c>
      <c r="B571" t="s">
        <v>28</v>
      </c>
      <c r="C571">
        <v>29</v>
      </c>
      <c r="D571" t="s">
        <v>85</v>
      </c>
      <c r="E571" t="s">
        <v>151</v>
      </c>
      <c r="F571" t="s">
        <v>56</v>
      </c>
      <c r="G571">
        <v>31864</v>
      </c>
      <c r="H571" s="1">
        <v>44410</v>
      </c>
      <c r="I571" t="s">
        <v>107</v>
      </c>
      <c r="J571" t="s">
        <v>67</v>
      </c>
      <c r="K571" t="s">
        <v>49</v>
      </c>
      <c r="L571">
        <v>3</v>
      </c>
      <c r="M571">
        <v>1</v>
      </c>
      <c r="N571">
        <v>5</v>
      </c>
      <c r="O571" t="s">
        <v>50</v>
      </c>
      <c r="P571" t="s">
        <v>36</v>
      </c>
      <c r="Q571">
        <v>192</v>
      </c>
      <c r="R571">
        <v>13</v>
      </c>
      <c r="S571">
        <v>29</v>
      </c>
      <c r="T571" t="s">
        <v>37</v>
      </c>
      <c r="U571" t="s">
        <v>37</v>
      </c>
      <c r="V571" t="s">
        <v>36</v>
      </c>
      <c r="W571" t="s">
        <v>60</v>
      </c>
      <c r="X571">
        <v>2021</v>
      </c>
      <c r="Y571" t="s">
        <v>128</v>
      </c>
      <c r="Z571" t="s">
        <v>75</v>
      </c>
      <c r="AA571" t="s">
        <v>63</v>
      </c>
    </row>
    <row r="572" spans="1:27" x14ac:dyDescent="0.3">
      <c r="A572" t="s">
        <v>691</v>
      </c>
      <c r="B572" t="s">
        <v>28</v>
      </c>
      <c r="C572">
        <v>32</v>
      </c>
      <c r="D572" t="s">
        <v>44</v>
      </c>
      <c r="E572" t="s">
        <v>109</v>
      </c>
      <c r="F572" t="s">
        <v>96</v>
      </c>
      <c r="G572">
        <v>97424</v>
      </c>
      <c r="H572" s="1">
        <v>43920</v>
      </c>
      <c r="I572" t="s">
        <v>47</v>
      </c>
      <c r="J572" t="s">
        <v>67</v>
      </c>
      <c r="K572" t="s">
        <v>58</v>
      </c>
      <c r="L572">
        <v>16</v>
      </c>
      <c r="M572">
        <v>5</v>
      </c>
      <c r="N572">
        <v>4</v>
      </c>
      <c r="O572" t="s">
        <v>50</v>
      </c>
      <c r="P572" t="s">
        <v>36</v>
      </c>
      <c r="Q572">
        <v>233</v>
      </c>
      <c r="R572">
        <v>12</v>
      </c>
      <c r="S572">
        <v>6</v>
      </c>
      <c r="T572" t="s">
        <v>37</v>
      </c>
      <c r="U572" t="s">
        <v>37</v>
      </c>
      <c r="V572" t="s">
        <v>37</v>
      </c>
      <c r="W572" t="s">
        <v>38</v>
      </c>
      <c r="X572">
        <v>2020</v>
      </c>
      <c r="Y572" t="s">
        <v>142</v>
      </c>
      <c r="Z572" t="s">
        <v>40</v>
      </c>
      <c r="AA572" t="s">
        <v>87</v>
      </c>
    </row>
    <row r="573" spans="1:27" x14ac:dyDescent="0.3">
      <c r="A573" t="s">
        <v>692</v>
      </c>
      <c r="B573" t="s">
        <v>43</v>
      </c>
      <c r="C573">
        <v>43</v>
      </c>
      <c r="D573" t="s">
        <v>29</v>
      </c>
      <c r="E573" t="s">
        <v>93</v>
      </c>
      <c r="F573" t="s">
        <v>96</v>
      </c>
      <c r="G573">
        <v>99556</v>
      </c>
      <c r="H573" s="1">
        <v>45775</v>
      </c>
      <c r="I573" t="s">
        <v>98</v>
      </c>
      <c r="J573" t="s">
        <v>48</v>
      </c>
      <c r="K573" t="s">
        <v>34</v>
      </c>
      <c r="L573">
        <v>20</v>
      </c>
      <c r="M573">
        <v>5</v>
      </c>
      <c r="N573">
        <v>1</v>
      </c>
      <c r="O573" t="s">
        <v>59</v>
      </c>
      <c r="P573" t="s">
        <v>36</v>
      </c>
      <c r="Q573">
        <v>159</v>
      </c>
      <c r="R573">
        <v>21</v>
      </c>
      <c r="S573">
        <v>10</v>
      </c>
      <c r="T573" t="s">
        <v>36</v>
      </c>
      <c r="U573" t="s">
        <v>36</v>
      </c>
      <c r="V573" t="s">
        <v>36</v>
      </c>
      <c r="W573" t="s">
        <v>60</v>
      </c>
      <c r="X573">
        <v>2025</v>
      </c>
      <c r="Y573" t="s">
        <v>69</v>
      </c>
      <c r="Z573" t="s">
        <v>70</v>
      </c>
      <c r="AA573" t="s">
        <v>87</v>
      </c>
    </row>
    <row r="574" spans="1:27" x14ac:dyDescent="0.3">
      <c r="A574" t="s">
        <v>693</v>
      </c>
      <c r="B574" t="s">
        <v>28</v>
      </c>
      <c r="C574">
        <v>34</v>
      </c>
      <c r="D574" t="s">
        <v>29</v>
      </c>
      <c r="E574" t="s">
        <v>122</v>
      </c>
      <c r="F574" t="s">
        <v>31</v>
      </c>
      <c r="G574">
        <v>63310</v>
      </c>
      <c r="H574" s="1">
        <v>45233</v>
      </c>
      <c r="I574" t="s">
        <v>32</v>
      </c>
      <c r="J574" t="s">
        <v>118</v>
      </c>
      <c r="K574" t="s">
        <v>34</v>
      </c>
      <c r="L574">
        <v>4</v>
      </c>
      <c r="M574">
        <v>4</v>
      </c>
      <c r="N574">
        <v>3</v>
      </c>
      <c r="O574" t="s">
        <v>35</v>
      </c>
      <c r="P574" t="s">
        <v>37</v>
      </c>
      <c r="Q574">
        <v>152</v>
      </c>
      <c r="R574">
        <v>75</v>
      </c>
      <c r="S574">
        <v>17</v>
      </c>
      <c r="T574" t="s">
        <v>37</v>
      </c>
      <c r="U574" t="s">
        <v>37</v>
      </c>
      <c r="V574" t="s">
        <v>37</v>
      </c>
      <c r="W574" t="s">
        <v>38</v>
      </c>
      <c r="X574">
        <v>2023</v>
      </c>
      <c r="Y574" t="s">
        <v>123</v>
      </c>
      <c r="Z574" t="s">
        <v>40</v>
      </c>
      <c r="AA574" t="s">
        <v>52</v>
      </c>
    </row>
    <row r="575" spans="1:27" x14ac:dyDescent="0.3">
      <c r="A575" t="s">
        <v>694</v>
      </c>
      <c r="B575" t="s">
        <v>43</v>
      </c>
      <c r="C575">
        <v>30</v>
      </c>
      <c r="D575" t="s">
        <v>77</v>
      </c>
      <c r="E575" t="s">
        <v>138</v>
      </c>
      <c r="F575" t="s">
        <v>96</v>
      </c>
      <c r="G575">
        <v>145945</v>
      </c>
      <c r="H575" s="1">
        <v>44030</v>
      </c>
      <c r="I575" t="s">
        <v>107</v>
      </c>
      <c r="J575" t="s">
        <v>118</v>
      </c>
      <c r="K575" t="s">
        <v>58</v>
      </c>
      <c r="L575">
        <v>16</v>
      </c>
      <c r="M575">
        <v>1</v>
      </c>
      <c r="N575">
        <v>4</v>
      </c>
      <c r="O575" t="s">
        <v>68</v>
      </c>
      <c r="P575" t="s">
        <v>37</v>
      </c>
      <c r="Q575">
        <v>228</v>
      </c>
      <c r="R575">
        <v>34</v>
      </c>
      <c r="S575">
        <v>4</v>
      </c>
      <c r="T575" t="s">
        <v>36</v>
      </c>
      <c r="U575" t="s">
        <v>36</v>
      </c>
      <c r="V575" t="s">
        <v>36</v>
      </c>
      <c r="W575" t="s">
        <v>60</v>
      </c>
      <c r="X575">
        <v>2020</v>
      </c>
      <c r="Y575" t="s">
        <v>79</v>
      </c>
      <c r="Z575" t="s">
        <v>75</v>
      </c>
      <c r="AA575" t="s">
        <v>105</v>
      </c>
    </row>
    <row r="576" spans="1:27" x14ac:dyDescent="0.3">
      <c r="A576" t="s">
        <v>695</v>
      </c>
      <c r="B576" t="s">
        <v>28</v>
      </c>
      <c r="C576">
        <v>37</v>
      </c>
      <c r="D576" t="s">
        <v>77</v>
      </c>
      <c r="E576" t="s">
        <v>182</v>
      </c>
      <c r="F576" t="s">
        <v>56</v>
      </c>
      <c r="G576">
        <v>36189</v>
      </c>
      <c r="H576" s="1">
        <v>43779</v>
      </c>
      <c r="I576" t="s">
        <v>107</v>
      </c>
      <c r="J576" t="s">
        <v>33</v>
      </c>
      <c r="K576" t="s">
        <v>49</v>
      </c>
      <c r="L576">
        <v>0</v>
      </c>
      <c r="M576">
        <v>1</v>
      </c>
      <c r="N576">
        <v>2</v>
      </c>
      <c r="O576" t="s">
        <v>68</v>
      </c>
      <c r="P576" t="s">
        <v>36</v>
      </c>
      <c r="Q576">
        <v>173</v>
      </c>
      <c r="R576">
        <v>55</v>
      </c>
      <c r="S576">
        <v>17</v>
      </c>
      <c r="T576" t="s">
        <v>36</v>
      </c>
      <c r="U576" t="s">
        <v>36</v>
      </c>
      <c r="V576" t="s">
        <v>37</v>
      </c>
      <c r="W576" t="s">
        <v>38</v>
      </c>
      <c r="X576">
        <v>2019</v>
      </c>
      <c r="Y576" t="s">
        <v>123</v>
      </c>
      <c r="Z576" t="s">
        <v>62</v>
      </c>
      <c r="AA576" t="s">
        <v>63</v>
      </c>
    </row>
    <row r="577" spans="1:27" x14ac:dyDescent="0.3">
      <c r="A577" t="s">
        <v>696</v>
      </c>
      <c r="B577" t="s">
        <v>28</v>
      </c>
      <c r="C577">
        <v>21</v>
      </c>
      <c r="D577" t="s">
        <v>54</v>
      </c>
      <c r="E577" t="s">
        <v>153</v>
      </c>
      <c r="F577" t="s">
        <v>46</v>
      </c>
      <c r="G577">
        <v>100628</v>
      </c>
      <c r="H577" s="1">
        <v>45493</v>
      </c>
      <c r="I577" t="s">
        <v>98</v>
      </c>
      <c r="J577" t="s">
        <v>67</v>
      </c>
      <c r="K577" t="s">
        <v>34</v>
      </c>
      <c r="L577">
        <v>8</v>
      </c>
      <c r="M577">
        <v>3</v>
      </c>
      <c r="N577">
        <v>2</v>
      </c>
      <c r="O577" t="s">
        <v>68</v>
      </c>
      <c r="P577" t="s">
        <v>36</v>
      </c>
      <c r="Q577">
        <v>241</v>
      </c>
      <c r="R577">
        <v>72</v>
      </c>
      <c r="S577">
        <v>30</v>
      </c>
      <c r="T577" t="s">
        <v>36</v>
      </c>
      <c r="U577" t="s">
        <v>36</v>
      </c>
      <c r="V577" t="s">
        <v>36</v>
      </c>
      <c r="W577" t="s">
        <v>60</v>
      </c>
      <c r="X577">
        <v>2024</v>
      </c>
      <c r="Y577" t="s">
        <v>79</v>
      </c>
      <c r="Z577" t="s">
        <v>104</v>
      </c>
      <c r="AA577" t="s">
        <v>87</v>
      </c>
    </row>
    <row r="578" spans="1:27" x14ac:dyDescent="0.3">
      <c r="A578" t="s">
        <v>697</v>
      </c>
      <c r="B578" t="s">
        <v>28</v>
      </c>
      <c r="C578">
        <v>33</v>
      </c>
      <c r="D578" t="s">
        <v>29</v>
      </c>
      <c r="E578" t="s">
        <v>30</v>
      </c>
      <c r="F578" t="s">
        <v>96</v>
      </c>
      <c r="G578">
        <v>153728</v>
      </c>
      <c r="H578" s="1">
        <v>43787</v>
      </c>
      <c r="I578" t="s">
        <v>32</v>
      </c>
      <c r="J578" t="s">
        <v>48</v>
      </c>
      <c r="K578" t="s">
        <v>49</v>
      </c>
      <c r="L578">
        <v>12</v>
      </c>
      <c r="M578">
        <v>2</v>
      </c>
      <c r="N578">
        <v>2</v>
      </c>
      <c r="O578" t="s">
        <v>68</v>
      </c>
      <c r="P578" t="s">
        <v>36</v>
      </c>
      <c r="Q578">
        <v>179</v>
      </c>
      <c r="R578">
        <v>9</v>
      </c>
      <c r="S578">
        <v>9</v>
      </c>
      <c r="T578" t="s">
        <v>36</v>
      </c>
      <c r="U578" t="s">
        <v>36</v>
      </c>
      <c r="V578" t="s">
        <v>36</v>
      </c>
      <c r="W578" t="s">
        <v>126</v>
      </c>
      <c r="X578">
        <v>2019</v>
      </c>
      <c r="Y578" t="s">
        <v>123</v>
      </c>
      <c r="Z578" t="s">
        <v>40</v>
      </c>
      <c r="AA578" t="s">
        <v>105</v>
      </c>
    </row>
    <row r="579" spans="1:27" x14ac:dyDescent="0.3">
      <c r="A579" t="s">
        <v>698</v>
      </c>
      <c r="B579" t="s">
        <v>43</v>
      </c>
      <c r="C579">
        <v>37</v>
      </c>
      <c r="D579" t="s">
        <v>54</v>
      </c>
      <c r="E579" t="s">
        <v>153</v>
      </c>
      <c r="F579" t="s">
        <v>96</v>
      </c>
      <c r="G579">
        <v>94424</v>
      </c>
      <c r="H579" s="1">
        <v>44604</v>
      </c>
      <c r="I579" t="s">
        <v>98</v>
      </c>
      <c r="J579" t="s">
        <v>118</v>
      </c>
      <c r="K579" t="s">
        <v>49</v>
      </c>
      <c r="L579">
        <v>12</v>
      </c>
      <c r="M579">
        <v>5</v>
      </c>
      <c r="N579">
        <v>4</v>
      </c>
      <c r="O579" t="s">
        <v>35</v>
      </c>
      <c r="P579" t="s">
        <v>36</v>
      </c>
      <c r="Q579">
        <v>255</v>
      </c>
      <c r="R579">
        <v>53</v>
      </c>
      <c r="S579">
        <v>14</v>
      </c>
      <c r="T579" t="s">
        <v>36</v>
      </c>
      <c r="U579" t="s">
        <v>37</v>
      </c>
      <c r="V579" t="s">
        <v>37</v>
      </c>
      <c r="W579" t="s">
        <v>38</v>
      </c>
      <c r="X579">
        <v>2022</v>
      </c>
      <c r="Y579" t="s">
        <v>39</v>
      </c>
      <c r="Z579" t="s">
        <v>62</v>
      </c>
      <c r="AA579" t="s">
        <v>87</v>
      </c>
    </row>
    <row r="580" spans="1:27" x14ac:dyDescent="0.3">
      <c r="A580" t="s">
        <v>699</v>
      </c>
      <c r="B580" t="s">
        <v>28</v>
      </c>
      <c r="C580">
        <v>21</v>
      </c>
      <c r="D580" t="s">
        <v>44</v>
      </c>
      <c r="E580" t="s">
        <v>115</v>
      </c>
      <c r="F580" t="s">
        <v>96</v>
      </c>
      <c r="G580">
        <v>114173</v>
      </c>
      <c r="H580" s="1">
        <v>45231</v>
      </c>
      <c r="I580" t="s">
        <v>107</v>
      </c>
      <c r="J580" t="s">
        <v>99</v>
      </c>
      <c r="K580" t="s">
        <v>34</v>
      </c>
      <c r="L580">
        <v>18</v>
      </c>
      <c r="M580">
        <v>5</v>
      </c>
      <c r="N580">
        <v>1</v>
      </c>
      <c r="O580" t="s">
        <v>50</v>
      </c>
      <c r="P580" t="s">
        <v>36</v>
      </c>
      <c r="Q580">
        <v>189</v>
      </c>
      <c r="R580">
        <v>38</v>
      </c>
      <c r="S580">
        <v>27</v>
      </c>
      <c r="T580" t="s">
        <v>36</v>
      </c>
      <c r="U580" t="s">
        <v>37</v>
      </c>
      <c r="V580" t="s">
        <v>36</v>
      </c>
      <c r="W580" t="s">
        <v>60</v>
      </c>
      <c r="X580">
        <v>2023</v>
      </c>
      <c r="Y580" t="s">
        <v>123</v>
      </c>
      <c r="Z580" t="s">
        <v>104</v>
      </c>
      <c r="AA580" t="s">
        <v>87</v>
      </c>
    </row>
    <row r="581" spans="1:27" x14ac:dyDescent="0.3">
      <c r="A581" t="s">
        <v>700</v>
      </c>
      <c r="B581" t="s">
        <v>28</v>
      </c>
      <c r="C581">
        <v>40</v>
      </c>
      <c r="D581" t="s">
        <v>65</v>
      </c>
      <c r="E581" t="s">
        <v>72</v>
      </c>
      <c r="F581" t="s">
        <v>96</v>
      </c>
      <c r="G581">
        <v>97486</v>
      </c>
      <c r="H581" s="1">
        <v>43913</v>
      </c>
      <c r="I581" t="s">
        <v>98</v>
      </c>
      <c r="J581" t="s">
        <v>101</v>
      </c>
      <c r="K581" t="s">
        <v>49</v>
      </c>
      <c r="L581">
        <v>20</v>
      </c>
      <c r="M581">
        <v>5</v>
      </c>
      <c r="N581">
        <v>4</v>
      </c>
      <c r="O581" t="s">
        <v>50</v>
      </c>
      <c r="P581" t="s">
        <v>36</v>
      </c>
      <c r="Q581">
        <v>236</v>
      </c>
      <c r="R581">
        <v>25</v>
      </c>
      <c r="S581">
        <v>14</v>
      </c>
      <c r="T581" t="s">
        <v>36</v>
      </c>
      <c r="U581" t="s">
        <v>36</v>
      </c>
      <c r="V581" t="s">
        <v>36</v>
      </c>
      <c r="W581" t="s">
        <v>60</v>
      </c>
      <c r="X581">
        <v>2020</v>
      </c>
      <c r="Y581" t="s">
        <v>142</v>
      </c>
      <c r="Z581" t="s">
        <v>62</v>
      </c>
      <c r="AA581" t="s">
        <v>87</v>
      </c>
    </row>
    <row r="582" spans="1:27" x14ac:dyDescent="0.3">
      <c r="A582" t="s">
        <v>701</v>
      </c>
      <c r="B582" t="s">
        <v>28</v>
      </c>
      <c r="C582">
        <v>34</v>
      </c>
      <c r="D582" t="s">
        <v>29</v>
      </c>
      <c r="E582" t="s">
        <v>30</v>
      </c>
      <c r="F582" t="s">
        <v>46</v>
      </c>
      <c r="G582">
        <v>70605</v>
      </c>
      <c r="H582" s="1">
        <v>45689</v>
      </c>
      <c r="I582" t="s">
        <v>107</v>
      </c>
      <c r="J582" t="s">
        <v>67</v>
      </c>
      <c r="K582" t="s">
        <v>34</v>
      </c>
      <c r="L582">
        <v>8</v>
      </c>
      <c r="M582">
        <v>3</v>
      </c>
      <c r="N582">
        <v>3</v>
      </c>
      <c r="O582" t="s">
        <v>50</v>
      </c>
      <c r="P582" t="s">
        <v>36</v>
      </c>
      <c r="Q582">
        <v>200</v>
      </c>
      <c r="R582">
        <v>6</v>
      </c>
      <c r="S582">
        <v>5</v>
      </c>
      <c r="T582" t="s">
        <v>36</v>
      </c>
      <c r="U582" t="s">
        <v>37</v>
      </c>
      <c r="V582" t="s">
        <v>36</v>
      </c>
      <c r="W582" t="s">
        <v>60</v>
      </c>
      <c r="X582">
        <v>2025</v>
      </c>
      <c r="Y582" t="s">
        <v>39</v>
      </c>
      <c r="Z582" t="s">
        <v>40</v>
      </c>
      <c r="AA582" t="s">
        <v>52</v>
      </c>
    </row>
    <row r="583" spans="1:27" x14ac:dyDescent="0.3">
      <c r="A583" t="s">
        <v>702</v>
      </c>
      <c r="B583" t="s">
        <v>43</v>
      </c>
      <c r="C583">
        <v>29</v>
      </c>
      <c r="D583" t="s">
        <v>85</v>
      </c>
      <c r="E583" t="s">
        <v>159</v>
      </c>
      <c r="F583" t="s">
        <v>96</v>
      </c>
      <c r="G583">
        <v>92263</v>
      </c>
      <c r="H583" s="1">
        <v>43502</v>
      </c>
      <c r="I583" t="s">
        <v>98</v>
      </c>
      <c r="J583" t="s">
        <v>48</v>
      </c>
      <c r="K583" t="s">
        <v>49</v>
      </c>
      <c r="L583">
        <v>15</v>
      </c>
      <c r="M583">
        <v>4</v>
      </c>
      <c r="N583">
        <v>1</v>
      </c>
      <c r="O583" t="s">
        <v>50</v>
      </c>
      <c r="P583" t="s">
        <v>36</v>
      </c>
      <c r="Q583">
        <v>211</v>
      </c>
      <c r="R583">
        <v>13</v>
      </c>
      <c r="S583">
        <v>16</v>
      </c>
      <c r="T583" t="s">
        <v>37</v>
      </c>
      <c r="U583" t="s">
        <v>36</v>
      </c>
      <c r="V583" t="s">
        <v>36</v>
      </c>
      <c r="W583" t="s">
        <v>60</v>
      </c>
      <c r="X583">
        <v>2019</v>
      </c>
      <c r="Y583" t="s">
        <v>39</v>
      </c>
      <c r="Z583" t="s">
        <v>75</v>
      </c>
      <c r="AA583" t="s">
        <v>87</v>
      </c>
    </row>
    <row r="584" spans="1:27" x14ac:dyDescent="0.3">
      <c r="A584" t="s">
        <v>703</v>
      </c>
      <c r="B584" t="s">
        <v>43</v>
      </c>
      <c r="C584">
        <v>36</v>
      </c>
      <c r="D584" t="s">
        <v>81</v>
      </c>
      <c r="E584" t="s">
        <v>165</v>
      </c>
      <c r="F584" t="s">
        <v>31</v>
      </c>
      <c r="G584">
        <v>49452</v>
      </c>
      <c r="H584" s="1">
        <v>44180</v>
      </c>
      <c r="I584" t="s">
        <v>57</v>
      </c>
      <c r="J584" t="s">
        <v>73</v>
      </c>
      <c r="K584" t="s">
        <v>34</v>
      </c>
      <c r="L584">
        <v>7</v>
      </c>
      <c r="M584">
        <v>2</v>
      </c>
      <c r="N584">
        <v>5</v>
      </c>
      <c r="O584" t="s">
        <v>59</v>
      </c>
      <c r="P584" t="s">
        <v>36</v>
      </c>
      <c r="Q584">
        <v>156</v>
      </c>
      <c r="R584">
        <v>79</v>
      </c>
      <c r="S584">
        <v>12</v>
      </c>
      <c r="T584" t="s">
        <v>37</v>
      </c>
      <c r="U584" t="s">
        <v>36</v>
      </c>
      <c r="V584" t="s">
        <v>37</v>
      </c>
      <c r="W584" t="s">
        <v>38</v>
      </c>
      <c r="X584">
        <v>2020</v>
      </c>
      <c r="Y584" t="s">
        <v>116</v>
      </c>
      <c r="Z584" t="s">
        <v>62</v>
      </c>
      <c r="AA584" t="s">
        <v>41</v>
      </c>
    </row>
    <row r="585" spans="1:27" x14ac:dyDescent="0.3">
      <c r="A585" t="s">
        <v>704</v>
      </c>
      <c r="B585" t="s">
        <v>28</v>
      </c>
      <c r="C585">
        <v>47</v>
      </c>
      <c r="D585" t="s">
        <v>29</v>
      </c>
      <c r="E585" t="s">
        <v>30</v>
      </c>
      <c r="F585" t="s">
        <v>46</v>
      </c>
      <c r="G585">
        <v>66056</v>
      </c>
      <c r="H585" s="1">
        <v>45679</v>
      </c>
      <c r="I585" t="s">
        <v>47</v>
      </c>
      <c r="J585" t="s">
        <v>48</v>
      </c>
      <c r="K585" t="s">
        <v>34</v>
      </c>
      <c r="L585">
        <v>10</v>
      </c>
      <c r="M585">
        <v>1</v>
      </c>
      <c r="N585">
        <v>5</v>
      </c>
      <c r="O585" t="s">
        <v>35</v>
      </c>
      <c r="P585" t="s">
        <v>37</v>
      </c>
      <c r="Q585">
        <v>194</v>
      </c>
      <c r="R585">
        <v>35</v>
      </c>
      <c r="S585">
        <v>8</v>
      </c>
      <c r="T585" t="s">
        <v>36</v>
      </c>
      <c r="U585" t="s">
        <v>37</v>
      </c>
      <c r="V585" t="s">
        <v>37</v>
      </c>
      <c r="W585" t="s">
        <v>38</v>
      </c>
      <c r="X585">
        <v>2025</v>
      </c>
      <c r="Y585" t="s">
        <v>94</v>
      </c>
      <c r="Z585" t="s">
        <v>70</v>
      </c>
      <c r="AA585" t="s">
        <v>52</v>
      </c>
    </row>
    <row r="586" spans="1:27" x14ac:dyDescent="0.3">
      <c r="A586" t="s">
        <v>705</v>
      </c>
      <c r="B586" t="s">
        <v>43</v>
      </c>
      <c r="C586">
        <v>33</v>
      </c>
      <c r="D586" t="s">
        <v>77</v>
      </c>
      <c r="E586" t="s">
        <v>182</v>
      </c>
      <c r="F586" t="s">
        <v>96</v>
      </c>
      <c r="G586">
        <v>127104</v>
      </c>
      <c r="H586" s="1">
        <v>43567</v>
      </c>
      <c r="I586" t="s">
        <v>107</v>
      </c>
      <c r="J586" t="s">
        <v>101</v>
      </c>
      <c r="K586" t="s">
        <v>49</v>
      </c>
      <c r="L586">
        <v>10</v>
      </c>
      <c r="M586">
        <v>3</v>
      </c>
      <c r="N586">
        <v>5</v>
      </c>
      <c r="O586" t="s">
        <v>35</v>
      </c>
      <c r="P586" t="s">
        <v>36</v>
      </c>
      <c r="Q586">
        <v>192</v>
      </c>
      <c r="R586">
        <v>25</v>
      </c>
      <c r="S586">
        <v>13</v>
      </c>
      <c r="T586" t="s">
        <v>37</v>
      </c>
      <c r="U586" t="s">
        <v>36</v>
      </c>
      <c r="V586" t="s">
        <v>36</v>
      </c>
      <c r="W586" t="s">
        <v>60</v>
      </c>
      <c r="X586">
        <v>2019</v>
      </c>
      <c r="Y586" t="s">
        <v>69</v>
      </c>
      <c r="Z586" t="s">
        <v>40</v>
      </c>
      <c r="AA586" t="s">
        <v>87</v>
      </c>
    </row>
    <row r="587" spans="1:27" x14ac:dyDescent="0.3">
      <c r="A587" t="s">
        <v>706</v>
      </c>
      <c r="B587" t="s">
        <v>28</v>
      </c>
      <c r="C587">
        <v>33</v>
      </c>
      <c r="D587" t="s">
        <v>29</v>
      </c>
      <c r="E587" t="s">
        <v>103</v>
      </c>
      <c r="F587" t="s">
        <v>31</v>
      </c>
      <c r="G587">
        <v>68477</v>
      </c>
      <c r="H587" s="1">
        <v>45558</v>
      </c>
      <c r="I587" t="s">
        <v>98</v>
      </c>
      <c r="J587" t="s">
        <v>99</v>
      </c>
      <c r="K587" t="s">
        <v>34</v>
      </c>
      <c r="L587">
        <v>4</v>
      </c>
      <c r="M587">
        <v>5</v>
      </c>
      <c r="N587">
        <v>5</v>
      </c>
      <c r="O587" t="s">
        <v>68</v>
      </c>
      <c r="P587" t="s">
        <v>36</v>
      </c>
      <c r="Q587">
        <v>194</v>
      </c>
      <c r="R587">
        <v>53</v>
      </c>
      <c r="S587">
        <v>26</v>
      </c>
      <c r="T587" t="s">
        <v>36</v>
      </c>
      <c r="U587" t="s">
        <v>36</v>
      </c>
      <c r="V587" t="s">
        <v>36</v>
      </c>
      <c r="W587" t="s">
        <v>60</v>
      </c>
      <c r="X587">
        <v>2024</v>
      </c>
      <c r="Y587" t="s">
        <v>51</v>
      </c>
      <c r="Z587" t="s">
        <v>40</v>
      </c>
      <c r="AA587" t="s">
        <v>52</v>
      </c>
    </row>
    <row r="588" spans="1:27" x14ac:dyDescent="0.3">
      <c r="A588" t="s">
        <v>707</v>
      </c>
      <c r="B588" t="s">
        <v>28</v>
      </c>
      <c r="C588">
        <v>28</v>
      </c>
      <c r="D588" t="s">
        <v>44</v>
      </c>
      <c r="E588" t="s">
        <v>45</v>
      </c>
      <c r="F588" t="s">
        <v>56</v>
      </c>
      <c r="G588">
        <v>29685</v>
      </c>
      <c r="H588" s="1">
        <v>46166</v>
      </c>
      <c r="I588" t="s">
        <v>98</v>
      </c>
      <c r="J588" t="s">
        <v>67</v>
      </c>
      <c r="K588" t="s">
        <v>58</v>
      </c>
      <c r="L588">
        <v>3</v>
      </c>
      <c r="M588">
        <v>5</v>
      </c>
      <c r="N588">
        <v>5</v>
      </c>
      <c r="O588" t="s">
        <v>50</v>
      </c>
      <c r="P588" t="s">
        <v>36</v>
      </c>
      <c r="Q588">
        <v>190</v>
      </c>
      <c r="R588">
        <v>36</v>
      </c>
      <c r="S588">
        <v>27</v>
      </c>
      <c r="T588" t="s">
        <v>36</v>
      </c>
      <c r="U588" t="s">
        <v>36</v>
      </c>
      <c r="V588" t="s">
        <v>36</v>
      </c>
      <c r="W588" t="s">
        <v>60</v>
      </c>
      <c r="X588">
        <v>2026</v>
      </c>
      <c r="Y588" t="s">
        <v>74</v>
      </c>
      <c r="Z588" t="s">
        <v>75</v>
      </c>
      <c r="AA588" t="s">
        <v>63</v>
      </c>
    </row>
    <row r="589" spans="1:27" x14ac:dyDescent="0.3">
      <c r="A589" t="s">
        <v>708</v>
      </c>
      <c r="B589" t="s">
        <v>43</v>
      </c>
      <c r="C589">
        <v>26</v>
      </c>
      <c r="D589" t="s">
        <v>65</v>
      </c>
      <c r="E589" t="s">
        <v>120</v>
      </c>
      <c r="F589" t="s">
        <v>31</v>
      </c>
      <c r="G589">
        <v>56582</v>
      </c>
      <c r="H589" s="1">
        <v>45145</v>
      </c>
      <c r="I589" t="s">
        <v>47</v>
      </c>
      <c r="J589" t="s">
        <v>33</v>
      </c>
      <c r="K589" t="s">
        <v>49</v>
      </c>
      <c r="L589">
        <v>7</v>
      </c>
      <c r="M589">
        <v>3</v>
      </c>
      <c r="N589">
        <v>1</v>
      </c>
      <c r="O589" t="s">
        <v>59</v>
      </c>
      <c r="P589" t="s">
        <v>36</v>
      </c>
      <c r="Q589">
        <v>221</v>
      </c>
      <c r="R589">
        <v>34</v>
      </c>
      <c r="S589">
        <v>20</v>
      </c>
      <c r="T589" t="s">
        <v>37</v>
      </c>
      <c r="U589" t="s">
        <v>37</v>
      </c>
      <c r="V589" t="s">
        <v>36</v>
      </c>
      <c r="W589" t="s">
        <v>60</v>
      </c>
      <c r="X589">
        <v>2023</v>
      </c>
      <c r="Y589" t="s">
        <v>128</v>
      </c>
      <c r="Z589" t="s">
        <v>75</v>
      </c>
      <c r="AA589" t="s">
        <v>41</v>
      </c>
    </row>
    <row r="590" spans="1:27" x14ac:dyDescent="0.3">
      <c r="A590" t="s">
        <v>709</v>
      </c>
      <c r="B590" t="s">
        <v>43</v>
      </c>
      <c r="C590">
        <v>37</v>
      </c>
      <c r="D590" t="s">
        <v>85</v>
      </c>
      <c r="E590" t="s">
        <v>151</v>
      </c>
      <c r="F590" t="s">
        <v>46</v>
      </c>
      <c r="G590">
        <v>87385</v>
      </c>
      <c r="H590" s="1">
        <v>43949</v>
      </c>
      <c r="I590" t="s">
        <v>32</v>
      </c>
      <c r="J590" t="s">
        <v>73</v>
      </c>
      <c r="K590" t="s">
        <v>49</v>
      </c>
      <c r="L590">
        <v>10</v>
      </c>
      <c r="M590">
        <v>1</v>
      </c>
      <c r="N590">
        <v>4</v>
      </c>
      <c r="O590" t="s">
        <v>35</v>
      </c>
      <c r="P590" t="s">
        <v>36</v>
      </c>
      <c r="Q590">
        <v>214</v>
      </c>
      <c r="R590">
        <v>26</v>
      </c>
      <c r="S590">
        <v>5</v>
      </c>
      <c r="T590" t="s">
        <v>36</v>
      </c>
      <c r="U590" t="s">
        <v>36</v>
      </c>
      <c r="V590" t="s">
        <v>36</v>
      </c>
      <c r="W590" t="s">
        <v>60</v>
      </c>
      <c r="X590">
        <v>2020</v>
      </c>
      <c r="Y590" t="s">
        <v>69</v>
      </c>
      <c r="Z590" t="s">
        <v>62</v>
      </c>
      <c r="AA590" t="s">
        <v>52</v>
      </c>
    </row>
    <row r="591" spans="1:27" x14ac:dyDescent="0.3">
      <c r="A591" t="s">
        <v>710</v>
      </c>
      <c r="B591" t="s">
        <v>43</v>
      </c>
      <c r="C591">
        <v>26</v>
      </c>
      <c r="D591" t="s">
        <v>54</v>
      </c>
      <c r="E591" t="s">
        <v>111</v>
      </c>
      <c r="F591" t="s">
        <v>56</v>
      </c>
      <c r="G591">
        <v>42136</v>
      </c>
      <c r="H591" s="1">
        <v>44149</v>
      </c>
      <c r="I591" t="s">
        <v>107</v>
      </c>
      <c r="J591" t="s">
        <v>73</v>
      </c>
      <c r="K591" t="s">
        <v>49</v>
      </c>
      <c r="L591">
        <v>0</v>
      </c>
      <c r="M591">
        <v>1</v>
      </c>
      <c r="N591">
        <v>2</v>
      </c>
      <c r="O591" t="s">
        <v>68</v>
      </c>
      <c r="P591" t="s">
        <v>36</v>
      </c>
      <c r="Q591">
        <v>260</v>
      </c>
      <c r="R591">
        <v>42</v>
      </c>
      <c r="S591">
        <v>5</v>
      </c>
      <c r="T591" t="s">
        <v>36</v>
      </c>
      <c r="U591" t="s">
        <v>36</v>
      </c>
      <c r="V591" t="s">
        <v>36</v>
      </c>
      <c r="W591" t="s">
        <v>60</v>
      </c>
      <c r="X591">
        <v>2020</v>
      </c>
      <c r="Y591" t="s">
        <v>123</v>
      </c>
      <c r="Z591" t="s">
        <v>75</v>
      </c>
      <c r="AA591" t="s">
        <v>41</v>
      </c>
    </row>
    <row r="592" spans="1:27" x14ac:dyDescent="0.3">
      <c r="A592" t="s">
        <v>711</v>
      </c>
      <c r="B592" t="s">
        <v>28</v>
      </c>
      <c r="C592">
        <v>32</v>
      </c>
      <c r="D592" t="s">
        <v>29</v>
      </c>
      <c r="E592" t="s">
        <v>103</v>
      </c>
      <c r="F592" t="s">
        <v>46</v>
      </c>
      <c r="G592">
        <v>94418</v>
      </c>
      <c r="H592" s="1">
        <v>46049</v>
      </c>
      <c r="I592" t="s">
        <v>32</v>
      </c>
      <c r="J592" t="s">
        <v>48</v>
      </c>
      <c r="K592" t="s">
        <v>58</v>
      </c>
      <c r="L592">
        <v>11</v>
      </c>
      <c r="M592">
        <v>4</v>
      </c>
      <c r="N592">
        <v>4</v>
      </c>
      <c r="O592" t="s">
        <v>35</v>
      </c>
      <c r="P592" t="s">
        <v>36</v>
      </c>
      <c r="Q592">
        <v>246</v>
      </c>
      <c r="R592">
        <v>80</v>
      </c>
      <c r="S592">
        <v>20</v>
      </c>
      <c r="T592" t="s">
        <v>36</v>
      </c>
      <c r="U592" t="s">
        <v>36</v>
      </c>
      <c r="V592" t="s">
        <v>36</v>
      </c>
      <c r="W592" t="s">
        <v>126</v>
      </c>
      <c r="X592">
        <v>2026</v>
      </c>
      <c r="Y592" t="s">
        <v>94</v>
      </c>
      <c r="Z592" t="s">
        <v>40</v>
      </c>
      <c r="AA592" t="s">
        <v>87</v>
      </c>
    </row>
    <row r="593" spans="1:27" x14ac:dyDescent="0.3">
      <c r="A593" t="s">
        <v>712</v>
      </c>
      <c r="B593" t="s">
        <v>43</v>
      </c>
      <c r="C593">
        <v>28</v>
      </c>
      <c r="D593" t="s">
        <v>65</v>
      </c>
      <c r="E593" t="s">
        <v>72</v>
      </c>
      <c r="F593" t="s">
        <v>31</v>
      </c>
      <c r="G593">
        <v>58668</v>
      </c>
      <c r="H593" s="1">
        <v>45874</v>
      </c>
      <c r="I593" t="s">
        <v>98</v>
      </c>
      <c r="J593" t="s">
        <v>118</v>
      </c>
      <c r="K593" t="s">
        <v>49</v>
      </c>
      <c r="L593">
        <v>7</v>
      </c>
      <c r="M593">
        <v>3</v>
      </c>
      <c r="N593">
        <v>1</v>
      </c>
      <c r="O593" t="s">
        <v>50</v>
      </c>
      <c r="P593" t="s">
        <v>37</v>
      </c>
      <c r="Q593">
        <v>188</v>
      </c>
      <c r="R593">
        <v>54</v>
      </c>
      <c r="S593">
        <v>12</v>
      </c>
      <c r="T593" t="s">
        <v>37</v>
      </c>
      <c r="U593" t="s">
        <v>36</v>
      </c>
      <c r="V593" t="s">
        <v>36</v>
      </c>
      <c r="W593" t="s">
        <v>60</v>
      </c>
      <c r="X593">
        <v>2025</v>
      </c>
      <c r="Y593" t="s">
        <v>128</v>
      </c>
      <c r="Z593" t="s">
        <v>75</v>
      </c>
      <c r="AA593" t="s">
        <v>41</v>
      </c>
    </row>
    <row r="594" spans="1:27" x14ac:dyDescent="0.3">
      <c r="A594" t="s">
        <v>713</v>
      </c>
      <c r="B594" t="s">
        <v>28</v>
      </c>
      <c r="C594">
        <v>35</v>
      </c>
      <c r="D594" t="s">
        <v>44</v>
      </c>
      <c r="E594" t="s">
        <v>45</v>
      </c>
      <c r="F594" t="s">
        <v>46</v>
      </c>
      <c r="G594">
        <v>102692</v>
      </c>
      <c r="H594" s="1">
        <v>44753</v>
      </c>
      <c r="I594" t="s">
        <v>47</v>
      </c>
      <c r="J594" t="s">
        <v>101</v>
      </c>
      <c r="K594" t="s">
        <v>58</v>
      </c>
      <c r="L594">
        <v>14</v>
      </c>
      <c r="M594">
        <v>1</v>
      </c>
      <c r="N594">
        <v>3</v>
      </c>
      <c r="O594" t="s">
        <v>68</v>
      </c>
      <c r="P594" t="s">
        <v>36</v>
      </c>
      <c r="Q594">
        <v>171</v>
      </c>
      <c r="R594">
        <v>41</v>
      </c>
      <c r="S594">
        <v>10</v>
      </c>
      <c r="T594" t="s">
        <v>36</v>
      </c>
      <c r="U594" t="s">
        <v>37</v>
      </c>
      <c r="V594" t="s">
        <v>36</v>
      </c>
      <c r="W594" t="s">
        <v>60</v>
      </c>
      <c r="X594">
        <v>2022</v>
      </c>
      <c r="Y594" t="s">
        <v>79</v>
      </c>
      <c r="Z594" t="s">
        <v>40</v>
      </c>
      <c r="AA594" t="s">
        <v>87</v>
      </c>
    </row>
    <row r="595" spans="1:27" x14ac:dyDescent="0.3">
      <c r="A595" t="s">
        <v>714</v>
      </c>
      <c r="B595" t="s">
        <v>28</v>
      </c>
      <c r="C595">
        <v>34</v>
      </c>
      <c r="D595" t="s">
        <v>81</v>
      </c>
      <c r="E595" t="s">
        <v>113</v>
      </c>
      <c r="F595" t="s">
        <v>56</v>
      </c>
      <c r="G595">
        <v>34777</v>
      </c>
      <c r="H595" s="1">
        <v>43578</v>
      </c>
      <c r="I595" t="s">
        <v>57</v>
      </c>
      <c r="J595" t="s">
        <v>91</v>
      </c>
      <c r="K595" t="s">
        <v>58</v>
      </c>
      <c r="L595">
        <v>1</v>
      </c>
      <c r="M595">
        <v>5</v>
      </c>
      <c r="N595">
        <v>1</v>
      </c>
      <c r="O595" t="s">
        <v>50</v>
      </c>
      <c r="P595" t="s">
        <v>36</v>
      </c>
      <c r="Q595">
        <v>218</v>
      </c>
      <c r="R595">
        <v>78</v>
      </c>
      <c r="S595">
        <v>15</v>
      </c>
      <c r="T595" t="s">
        <v>36</v>
      </c>
      <c r="U595" t="s">
        <v>36</v>
      </c>
      <c r="V595" t="s">
        <v>37</v>
      </c>
      <c r="W595" t="s">
        <v>38</v>
      </c>
      <c r="X595">
        <v>2019</v>
      </c>
      <c r="Y595" t="s">
        <v>69</v>
      </c>
      <c r="Z595" t="s">
        <v>40</v>
      </c>
      <c r="AA595" t="s">
        <v>63</v>
      </c>
    </row>
    <row r="596" spans="1:27" x14ac:dyDescent="0.3">
      <c r="A596" t="s">
        <v>715</v>
      </c>
      <c r="B596" t="s">
        <v>43</v>
      </c>
      <c r="C596">
        <v>39</v>
      </c>
      <c r="D596" t="s">
        <v>85</v>
      </c>
      <c r="E596" t="s">
        <v>159</v>
      </c>
      <c r="F596" t="s">
        <v>46</v>
      </c>
      <c r="G596">
        <v>72183</v>
      </c>
      <c r="H596" s="1">
        <v>45286</v>
      </c>
      <c r="I596" t="s">
        <v>57</v>
      </c>
      <c r="J596" t="s">
        <v>91</v>
      </c>
      <c r="K596" t="s">
        <v>58</v>
      </c>
      <c r="L596">
        <v>6</v>
      </c>
      <c r="M596">
        <v>4</v>
      </c>
      <c r="N596">
        <v>4</v>
      </c>
      <c r="O596" t="s">
        <v>68</v>
      </c>
      <c r="P596" t="s">
        <v>36</v>
      </c>
      <c r="Q596">
        <v>161</v>
      </c>
      <c r="R596">
        <v>14</v>
      </c>
      <c r="S596">
        <v>12</v>
      </c>
      <c r="T596" t="s">
        <v>37</v>
      </c>
      <c r="U596" t="s">
        <v>36</v>
      </c>
      <c r="V596" t="s">
        <v>36</v>
      </c>
      <c r="W596" t="s">
        <v>60</v>
      </c>
      <c r="X596">
        <v>2023</v>
      </c>
      <c r="Y596" t="s">
        <v>116</v>
      </c>
      <c r="Z596" t="s">
        <v>62</v>
      </c>
      <c r="AA596" t="s">
        <v>52</v>
      </c>
    </row>
    <row r="597" spans="1:27" x14ac:dyDescent="0.3">
      <c r="A597" t="s">
        <v>716</v>
      </c>
      <c r="B597" t="s">
        <v>43</v>
      </c>
      <c r="C597">
        <v>28</v>
      </c>
      <c r="D597" t="s">
        <v>89</v>
      </c>
      <c r="E597" t="s">
        <v>203</v>
      </c>
      <c r="F597" t="s">
        <v>46</v>
      </c>
      <c r="G597">
        <v>67513</v>
      </c>
      <c r="H597" s="1">
        <v>43877</v>
      </c>
      <c r="I597" t="s">
        <v>57</v>
      </c>
      <c r="J597" t="s">
        <v>33</v>
      </c>
      <c r="K597" t="s">
        <v>58</v>
      </c>
      <c r="L597">
        <v>11</v>
      </c>
      <c r="M597">
        <v>5</v>
      </c>
      <c r="N597">
        <v>3</v>
      </c>
      <c r="O597" t="s">
        <v>59</v>
      </c>
      <c r="P597" t="s">
        <v>37</v>
      </c>
      <c r="Q597">
        <v>257</v>
      </c>
      <c r="R597">
        <v>33</v>
      </c>
      <c r="S597">
        <v>23</v>
      </c>
      <c r="T597" t="s">
        <v>37</v>
      </c>
      <c r="U597" t="s">
        <v>37</v>
      </c>
      <c r="V597" t="s">
        <v>36</v>
      </c>
      <c r="W597" t="s">
        <v>60</v>
      </c>
      <c r="X597">
        <v>2020</v>
      </c>
      <c r="Y597" t="s">
        <v>39</v>
      </c>
      <c r="Z597" t="s">
        <v>75</v>
      </c>
      <c r="AA597" t="s">
        <v>52</v>
      </c>
    </row>
    <row r="598" spans="1:27" x14ac:dyDescent="0.3">
      <c r="A598" t="s">
        <v>717</v>
      </c>
      <c r="B598" t="s">
        <v>43</v>
      </c>
      <c r="C598">
        <v>30</v>
      </c>
      <c r="D598" t="s">
        <v>85</v>
      </c>
      <c r="E598" t="s">
        <v>159</v>
      </c>
      <c r="F598" t="s">
        <v>31</v>
      </c>
      <c r="G598">
        <v>66037</v>
      </c>
      <c r="H598" s="1">
        <v>44623</v>
      </c>
      <c r="I598" t="s">
        <v>57</v>
      </c>
      <c r="J598" t="s">
        <v>101</v>
      </c>
      <c r="K598" t="s">
        <v>34</v>
      </c>
      <c r="L598">
        <v>5</v>
      </c>
      <c r="M598">
        <v>2</v>
      </c>
      <c r="N598">
        <v>2</v>
      </c>
      <c r="O598" t="s">
        <v>68</v>
      </c>
      <c r="P598" t="s">
        <v>36</v>
      </c>
      <c r="Q598">
        <v>161</v>
      </c>
      <c r="R598">
        <v>27</v>
      </c>
      <c r="S598">
        <v>3</v>
      </c>
      <c r="T598" t="s">
        <v>36</v>
      </c>
      <c r="U598" t="s">
        <v>36</v>
      </c>
      <c r="V598" t="s">
        <v>37</v>
      </c>
      <c r="W598" t="s">
        <v>38</v>
      </c>
      <c r="X598">
        <v>2022</v>
      </c>
      <c r="Y598" t="s">
        <v>142</v>
      </c>
      <c r="Z598" t="s">
        <v>75</v>
      </c>
      <c r="AA598" t="s">
        <v>52</v>
      </c>
    </row>
    <row r="599" spans="1:27" x14ac:dyDescent="0.3">
      <c r="A599" t="s">
        <v>718</v>
      </c>
      <c r="B599" t="s">
        <v>43</v>
      </c>
      <c r="C599">
        <v>25</v>
      </c>
      <c r="D599" t="s">
        <v>77</v>
      </c>
      <c r="E599" t="s">
        <v>138</v>
      </c>
      <c r="F599" t="s">
        <v>46</v>
      </c>
      <c r="G599">
        <v>96734</v>
      </c>
      <c r="H599" s="1">
        <v>46156</v>
      </c>
      <c r="I599" t="s">
        <v>47</v>
      </c>
      <c r="J599" t="s">
        <v>91</v>
      </c>
      <c r="K599" t="s">
        <v>34</v>
      </c>
      <c r="L599">
        <v>13</v>
      </c>
      <c r="M599">
        <v>2</v>
      </c>
      <c r="N599">
        <v>3</v>
      </c>
      <c r="O599" t="s">
        <v>59</v>
      </c>
      <c r="P599" t="s">
        <v>37</v>
      </c>
      <c r="Q599">
        <v>187</v>
      </c>
      <c r="R599">
        <v>42</v>
      </c>
      <c r="S599">
        <v>5</v>
      </c>
      <c r="T599" t="s">
        <v>37</v>
      </c>
      <c r="U599" t="s">
        <v>36</v>
      </c>
      <c r="V599" t="s">
        <v>36</v>
      </c>
      <c r="W599" t="s">
        <v>60</v>
      </c>
      <c r="X599">
        <v>2026</v>
      </c>
      <c r="Y599" t="s">
        <v>74</v>
      </c>
      <c r="Z599" t="s">
        <v>104</v>
      </c>
      <c r="AA599" t="s">
        <v>87</v>
      </c>
    </row>
    <row r="600" spans="1:27" x14ac:dyDescent="0.3">
      <c r="A600" t="s">
        <v>719</v>
      </c>
      <c r="B600" t="s">
        <v>43</v>
      </c>
      <c r="C600">
        <v>28</v>
      </c>
      <c r="D600" t="s">
        <v>77</v>
      </c>
      <c r="E600" t="s">
        <v>133</v>
      </c>
      <c r="F600" t="s">
        <v>46</v>
      </c>
      <c r="G600">
        <v>81213</v>
      </c>
      <c r="H600" s="1">
        <v>43940</v>
      </c>
      <c r="I600" t="s">
        <v>47</v>
      </c>
      <c r="J600" t="s">
        <v>73</v>
      </c>
      <c r="K600" t="s">
        <v>49</v>
      </c>
      <c r="L600">
        <v>11</v>
      </c>
      <c r="M600">
        <v>2</v>
      </c>
      <c r="N600">
        <v>4</v>
      </c>
      <c r="O600" t="s">
        <v>59</v>
      </c>
      <c r="P600" t="s">
        <v>36</v>
      </c>
      <c r="Q600">
        <v>234</v>
      </c>
      <c r="R600">
        <v>57</v>
      </c>
      <c r="S600">
        <v>23</v>
      </c>
      <c r="T600" t="s">
        <v>37</v>
      </c>
      <c r="U600" t="s">
        <v>37</v>
      </c>
      <c r="V600" t="s">
        <v>36</v>
      </c>
      <c r="W600" t="s">
        <v>60</v>
      </c>
      <c r="X600">
        <v>2020</v>
      </c>
      <c r="Y600" t="s">
        <v>69</v>
      </c>
      <c r="Z600" t="s">
        <v>75</v>
      </c>
      <c r="AA600" t="s">
        <v>52</v>
      </c>
    </row>
    <row r="601" spans="1:27" x14ac:dyDescent="0.3">
      <c r="A601" t="s">
        <v>720</v>
      </c>
      <c r="B601" t="s">
        <v>43</v>
      </c>
      <c r="C601">
        <v>34</v>
      </c>
      <c r="D601" t="s">
        <v>81</v>
      </c>
      <c r="E601" t="s">
        <v>113</v>
      </c>
      <c r="F601" t="s">
        <v>96</v>
      </c>
      <c r="G601">
        <v>97969</v>
      </c>
      <c r="H601" s="1">
        <v>44789</v>
      </c>
      <c r="I601" t="s">
        <v>107</v>
      </c>
      <c r="J601" t="s">
        <v>99</v>
      </c>
      <c r="K601" t="s">
        <v>49</v>
      </c>
      <c r="L601">
        <v>16</v>
      </c>
      <c r="M601">
        <v>3</v>
      </c>
      <c r="N601">
        <v>3</v>
      </c>
      <c r="O601" t="s">
        <v>59</v>
      </c>
      <c r="P601" t="s">
        <v>36</v>
      </c>
      <c r="Q601">
        <v>200</v>
      </c>
      <c r="R601">
        <v>33</v>
      </c>
      <c r="S601">
        <v>12</v>
      </c>
      <c r="T601" t="s">
        <v>36</v>
      </c>
      <c r="U601" t="s">
        <v>36</v>
      </c>
      <c r="V601" t="s">
        <v>36</v>
      </c>
      <c r="W601" t="s">
        <v>60</v>
      </c>
      <c r="X601">
        <v>2022</v>
      </c>
      <c r="Y601" t="s">
        <v>128</v>
      </c>
      <c r="Z601" t="s">
        <v>40</v>
      </c>
      <c r="AA601" t="s">
        <v>87</v>
      </c>
    </row>
    <row r="602" spans="1:27" x14ac:dyDescent="0.3">
      <c r="A602" t="s">
        <v>721</v>
      </c>
      <c r="B602" t="s">
        <v>43</v>
      </c>
      <c r="C602">
        <v>37</v>
      </c>
      <c r="D602" t="s">
        <v>89</v>
      </c>
      <c r="E602" t="s">
        <v>130</v>
      </c>
      <c r="F602" t="s">
        <v>31</v>
      </c>
      <c r="G602">
        <v>60759</v>
      </c>
      <c r="H602" s="1">
        <v>45661</v>
      </c>
      <c r="I602" t="s">
        <v>98</v>
      </c>
      <c r="J602" t="s">
        <v>99</v>
      </c>
      <c r="K602" t="s">
        <v>34</v>
      </c>
      <c r="L602">
        <v>3</v>
      </c>
      <c r="M602">
        <v>2</v>
      </c>
      <c r="N602">
        <v>1</v>
      </c>
      <c r="O602" t="s">
        <v>35</v>
      </c>
      <c r="P602" t="s">
        <v>36</v>
      </c>
      <c r="Q602">
        <v>228</v>
      </c>
      <c r="R602">
        <v>53</v>
      </c>
      <c r="S602">
        <v>4</v>
      </c>
      <c r="T602" t="s">
        <v>36</v>
      </c>
      <c r="U602" t="s">
        <v>36</v>
      </c>
      <c r="V602" t="s">
        <v>37</v>
      </c>
      <c r="W602" t="s">
        <v>38</v>
      </c>
      <c r="X602">
        <v>2025</v>
      </c>
      <c r="Y602" t="s">
        <v>94</v>
      </c>
      <c r="Z602" t="s">
        <v>62</v>
      </c>
      <c r="AA602" t="s">
        <v>52</v>
      </c>
    </row>
    <row r="603" spans="1:27" x14ac:dyDescent="0.3">
      <c r="A603" t="s">
        <v>722</v>
      </c>
      <c r="B603" t="s">
        <v>43</v>
      </c>
      <c r="C603">
        <v>25</v>
      </c>
      <c r="D603" t="s">
        <v>65</v>
      </c>
      <c r="E603" t="s">
        <v>120</v>
      </c>
      <c r="F603" t="s">
        <v>56</v>
      </c>
      <c r="G603">
        <v>44995</v>
      </c>
      <c r="H603" s="1">
        <v>44949</v>
      </c>
      <c r="I603" t="s">
        <v>32</v>
      </c>
      <c r="J603" t="s">
        <v>67</v>
      </c>
      <c r="K603" t="s">
        <v>58</v>
      </c>
      <c r="L603">
        <v>1</v>
      </c>
      <c r="M603">
        <v>5</v>
      </c>
      <c r="N603">
        <v>2</v>
      </c>
      <c r="O603" t="s">
        <v>50</v>
      </c>
      <c r="P603" t="s">
        <v>37</v>
      </c>
      <c r="Q603">
        <v>257</v>
      </c>
      <c r="R603">
        <v>47</v>
      </c>
      <c r="S603">
        <v>15</v>
      </c>
      <c r="T603" t="s">
        <v>37</v>
      </c>
      <c r="U603" t="s">
        <v>36</v>
      </c>
      <c r="V603" t="s">
        <v>36</v>
      </c>
      <c r="W603" t="s">
        <v>60</v>
      </c>
      <c r="X603">
        <v>2023</v>
      </c>
      <c r="Y603" t="s">
        <v>94</v>
      </c>
      <c r="Z603" t="s">
        <v>104</v>
      </c>
      <c r="AA603" t="s">
        <v>41</v>
      </c>
    </row>
    <row r="604" spans="1:27" x14ac:dyDescent="0.3">
      <c r="A604" t="s">
        <v>723</v>
      </c>
      <c r="B604" t="s">
        <v>28</v>
      </c>
      <c r="C604">
        <v>38</v>
      </c>
      <c r="D604" t="s">
        <v>29</v>
      </c>
      <c r="E604" t="s">
        <v>103</v>
      </c>
      <c r="F604" t="s">
        <v>56</v>
      </c>
      <c r="G604">
        <v>44433</v>
      </c>
      <c r="H604" s="1">
        <v>45452</v>
      </c>
      <c r="I604" t="s">
        <v>32</v>
      </c>
      <c r="J604" t="s">
        <v>99</v>
      </c>
      <c r="K604" t="s">
        <v>49</v>
      </c>
      <c r="L604">
        <v>3</v>
      </c>
      <c r="M604">
        <v>1</v>
      </c>
      <c r="N604">
        <v>2</v>
      </c>
      <c r="O604" t="s">
        <v>35</v>
      </c>
      <c r="P604" t="s">
        <v>36</v>
      </c>
      <c r="Q604">
        <v>188</v>
      </c>
      <c r="R604">
        <v>53</v>
      </c>
      <c r="S604">
        <v>22</v>
      </c>
      <c r="T604" t="s">
        <v>36</v>
      </c>
      <c r="U604" t="s">
        <v>37</v>
      </c>
      <c r="V604" t="s">
        <v>36</v>
      </c>
      <c r="W604" t="s">
        <v>60</v>
      </c>
      <c r="X604">
        <v>2024</v>
      </c>
      <c r="Y604" t="s">
        <v>61</v>
      </c>
      <c r="Z604" t="s">
        <v>62</v>
      </c>
      <c r="AA604" t="s">
        <v>41</v>
      </c>
    </row>
    <row r="605" spans="1:27" x14ac:dyDescent="0.3">
      <c r="A605" t="s">
        <v>724</v>
      </c>
      <c r="B605" t="s">
        <v>43</v>
      </c>
      <c r="C605">
        <v>41</v>
      </c>
      <c r="D605" t="s">
        <v>54</v>
      </c>
      <c r="E605" t="s">
        <v>153</v>
      </c>
      <c r="F605" t="s">
        <v>56</v>
      </c>
      <c r="G605">
        <v>44531</v>
      </c>
      <c r="H605" s="1">
        <v>43548</v>
      </c>
      <c r="I605" t="s">
        <v>47</v>
      </c>
      <c r="J605" t="s">
        <v>33</v>
      </c>
      <c r="K605" t="s">
        <v>34</v>
      </c>
      <c r="L605">
        <v>3</v>
      </c>
      <c r="M605">
        <v>1</v>
      </c>
      <c r="N605">
        <v>5</v>
      </c>
      <c r="O605" t="s">
        <v>50</v>
      </c>
      <c r="P605" t="s">
        <v>36</v>
      </c>
      <c r="Q605">
        <v>169</v>
      </c>
      <c r="R605">
        <v>46</v>
      </c>
      <c r="S605">
        <v>15</v>
      </c>
      <c r="T605" t="s">
        <v>36</v>
      </c>
      <c r="U605" t="s">
        <v>37</v>
      </c>
      <c r="V605" t="s">
        <v>36</v>
      </c>
      <c r="W605" t="s">
        <v>60</v>
      </c>
      <c r="X605">
        <v>2019</v>
      </c>
      <c r="Y605" t="s">
        <v>142</v>
      </c>
      <c r="Z605" t="s">
        <v>70</v>
      </c>
      <c r="AA605" t="s">
        <v>41</v>
      </c>
    </row>
    <row r="606" spans="1:27" x14ac:dyDescent="0.3">
      <c r="A606" t="s">
        <v>725</v>
      </c>
      <c r="B606" t="s">
        <v>43</v>
      </c>
      <c r="C606">
        <v>34</v>
      </c>
      <c r="D606" t="s">
        <v>81</v>
      </c>
      <c r="E606" t="s">
        <v>165</v>
      </c>
      <c r="F606" t="s">
        <v>31</v>
      </c>
      <c r="G606">
        <v>45266</v>
      </c>
      <c r="H606" s="1">
        <v>46153</v>
      </c>
      <c r="I606" t="s">
        <v>47</v>
      </c>
      <c r="J606" t="s">
        <v>67</v>
      </c>
      <c r="K606" t="s">
        <v>49</v>
      </c>
      <c r="L606">
        <v>4</v>
      </c>
      <c r="M606">
        <v>5</v>
      </c>
      <c r="N606">
        <v>4</v>
      </c>
      <c r="O606" t="s">
        <v>50</v>
      </c>
      <c r="P606" t="s">
        <v>36</v>
      </c>
      <c r="Q606">
        <v>187</v>
      </c>
      <c r="R606">
        <v>73</v>
      </c>
      <c r="S606">
        <v>18</v>
      </c>
      <c r="T606" t="s">
        <v>37</v>
      </c>
      <c r="U606" t="s">
        <v>36</v>
      </c>
      <c r="V606" t="s">
        <v>36</v>
      </c>
      <c r="W606" t="s">
        <v>126</v>
      </c>
      <c r="X606">
        <v>2026</v>
      </c>
      <c r="Y606" t="s">
        <v>74</v>
      </c>
      <c r="Z606" t="s">
        <v>40</v>
      </c>
      <c r="AA606" t="s">
        <v>41</v>
      </c>
    </row>
    <row r="607" spans="1:27" x14ac:dyDescent="0.3">
      <c r="A607" t="s">
        <v>726</v>
      </c>
      <c r="B607" t="s">
        <v>28</v>
      </c>
      <c r="C607">
        <v>45</v>
      </c>
      <c r="D607" t="s">
        <v>89</v>
      </c>
      <c r="E607" t="s">
        <v>130</v>
      </c>
      <c r="F607" t="s">
        <v>46</v>
      </c>
      <c r="G607">
        <v>100820</v>
      </c>
      <c r="H607" s="1">
        <v>45318</v>
      </c>
      <c r="I607" t="s">
        <v>47</v>
      </c>
      <c r="J607" t="s">
        <v>48</v>
      </c>
      <c r="K607" t="s">
        <v>34</v>
      </c>
      <c r="L607">
        <v>6</v>
      </c>
      <c r="M607">
        <v>2</v>
      </c>
      <c r="N607">
        <v>5</v>
      </c>
      <c r="O607" t="s">
        <v>50</v>
      </c>
      <c r="P607" t="s">
        <v>37</v>
      </c>
      <c r="Q607">
        <v>200</v>
      </c>
      <c r="R607">
        <v>47</v>
      </c>
      <c r="S607">
        <v>6</v>
      </c>
      <c r="T607" t="s">
        <v>36</v>
      </c>
      <c r="U607" t="s">
        <v>36</v>
      </c>
      <c r="V607" t="s">
        <v>36</v>
      </c>
      <c r="W607" t="s">
        <v>60</v>
      </c>
      <c r="X607">
        <v>2024</v>
      </c>
      <c r="Y607" t="s">
        <v>94</v>
      </c>
      <c r="Z607" t="s">
        <v>70</v>
      </c>
      <c r="AA607" t="s">
        <v>87</v>
      </c>
    </row>
    <row r="608" spans="1:27" x14ac:dyDescent="0.3">
      <c r="A608" t="s">
        <v>727</v>
      </c>
      <c r="B608" t="s">
        <v>28</v>
      </c>
      <c r="C608">
        <v>26</v>
      </c>
      <c r="D608" t="s">
        <v>85</v>
      </c>
      <c r="E608" t="s">
        <v>168</v>
      </c>
      <c r="F608" t="s">
        <v>96</v>
      </c>
      <c r="G608">
        <v>122763</v>
      </c>
      <c r="H608" s="1">
        <v>44044</v>
      </c>
      <c r="I608" t="s">
        <v>47</v>
      </c>
      <c r="J608" t="s">
        <v>67</v>
      </c>
      <c r="K608" t="s">
        <v>49</v>
      </c>
      <c r="L608">
        <v>9</v>
      </c>
      <c r="M608">
        <v>4</v>
      </c>
      <c r="N608">
        <v>5</v>
      </c>
      <c r="O608" t="s">
        <v>50</v>
      </c>
      <c r="P608" t="s">
        <v>36</v>
      </c>
      <c r="Q608">
        <v>216</v>
      </c>
      <c r="R608">
        <v>48</v>
      </c>
      <c r="S608">
        <v>28</v>
      </c>
      <c r="T608" t="s">
        <v>37</v>
      </c>
      <c r="U608" t="s">
        <v>36</v>
      </c>
      <c r="V608" t="s">
        <v>37</v>
      </c>
      <c r="W608" t="s">
        <v>38</v>
      </c>
      <c r="X608">
        <v>2020</v>
      </c>
      <c r="Y608" t="s">
        <v>128</v>
      </c>
      <c r="Z608" t="s">
        <v>75</v>
      </c>
      <c r="AA608" t="s">
        <v>87</v>
      </c>
    </row>
    <row r="609" spans="1:27" x14ac:dyDescent="0.3">
      <c r="A609" t="s">
        <v>728</v>
      </c>
      <c r="B609" t="s">
        <v>28</v>
      </c>
      <c r="C609">
        <v>23</v>
      </c>
      <c r="D609" t="s">
        <v>65</v>
      </c>
      <c r="E609" t="s">
        <v>72</v>
      </c>
      <c r="F609" t="s">
        <v>56</v>
      </c>
      <c r="G609">
        <v>36786</v>
      </c>
      <c r="H609" s="1">
        <v>45769</v>
      </c>
      <c r="I609" t="s">
        <v>47</v>
      </c>
      <c r="J609" t="s">
        <v>48</v>
      </c>
      <c r="K609" t="s">
        <v>58</v>
      </c>
      <c r="L609">
        <v>1</v>
      </c>
      <c r="M609">
        <v>4</v>
      </c>
      <c r="N609">
        <v>5</v>
      </c>
      <c r="O609" t="s">
        <v>59</v>
      </c>
      <c r="P609" t="s">
        <v>36</v>
      </c>
      <c r="Q609">
        <v>190</v>
      </c>
      <c r="R609">
        <v>14</v>
      </c>
      <c r="S609">
        <v>14</v>
      </c>
      <c r="T609" t="s">
        <v>37</v>
      </c>
      <c r="U609" t="s">
        <v>36</v>
      </c>
      <c r="V609" t="s">
        <v>36</v>
      </c>
      <c r="W609" t="s">
        <v>60</v>
      </c>
      <c r="X609">
        <v>2025</v>
      </c>
      <c r="Y609" t="s">
        <v>69</v>
      </c>
      <c r="Z609" t="s">
        <v>104</v>
      </c>
      <c r="AA609" t="s">
        <v>63</v>
      </c>
    </row>
    <row r="610" spans="1:27" x14ac:dyDescent="0.3">
      <c r="A610" t="s">
        <v>729</v>
      </c>
      <c r="B610" t="s">
        <v>28</v>
      </c>
      <c r="C610">
        <v>21</v>
      </c>
      <c r="D610" t="s">
        <v>54</v>
      </c>
      <c r="E610" t="s">
        <v>111</v>
      </c>
      <c r="F610" t="s">
        <v>31</v>
      </c>
      <c r="G610">
        <v>56339</v>
      </c>
      <c r="H610" s="1">
        <v>43625</v>
      </c>
      <c r="I610" t="s">
        <v>98</v>
      </c>
      <c r="J610" t="s">
        <v>118</v>
      </c>
      <c r="K610" t="s">
        <v>49</v>
      </c>
      <c r="L610">
        <v>2</v>
      </c>
      <c r="M610">
        <v>4</v>
      </c>
      <c r="N610">
        <v>4</v>
      </c>
      <c r="O610" t="s">
        <v>35</v>
      </c>
      <c r="P610" t="s">
        <v>37</v>
      </c>
      <c r="Q610">
        <v>230</v>
      </c>
      <c r="R610">
        <v>42</v>
      </c>
      <c r="S610">
        <v>5</v>
      </c>
      <c r="T610" t="s">
        <v>36</v>
      </c>
      <c r="U610" t="s">
        <v>36</v>
      </c>
      <c r="V610" t="s">
        <v>36</v>
      </c>
      <c r="W610" t="s">
        <v>60</v>
      </c>
      <c r="X610">
        <v>2019</v>
      </c>
      <c r="Y610" t="s">
        <v>61</v>
      </c>
      <c r="Z610" t="s">
        <v>104</v>
      </c>
      <c r="AA610" t="s">
        <v>41</v>
      </c>
    </row>
    <row r="611" spans="1:27" x14ac:dyDescent="0.3">
      <c r="A611" t="s">
        <v>730</v>
      </c>
      <c r="B611" t="s">
        <v>43</v>
      </c>
      <c r="C611">
        <v>42</v>
      </c>
      <c r="D611" t="s">
        <v>65</v>
      </c>
      <c r="E611" t="s">
        <v>66</v>
      </c>
      <c r="F611" t="s">
        <v>31</v>
      </c>
      <c r="G611">
        <v>46637</v>
      </c>
      <c r="H611" s="1">
        <v>45609</v>
      </c>
      <c r="I611" t="s">
        <v>32</v>
      </c>
      <c r="J611" t="s">
        <v>91</v>
      </c>
      <c r="K611" t="s">
        <v>34</v>
      </c>
      <c r="L611">
        <v>4</v>
      </c>
      <c r="M611">
        <v>2</v>
      </c>
      <c r="N611">
        <v>5</v>
      </c>
      <c r="O611" t="s">
        <v>68</v>
      </c>
      <c r="P611" t="s">
        <v>36</v>
      </c>
      <c r="Q611">
        <v>197</v>
      </c>
      <c r="R611">
        <v>26</v>
      </c>
      <c r="S611">
        <v>18</v>
      </c>
      <c r="T611" t="s">
        <v>36</v>
      </c>
      <c r="U611" t="s">
        <v>36</v>
      </c>
      <c r="V611" t="s">
        <v>36</v>
      </c>
      <c r="W611" t="s">
        <v>126</v>
      </c>
      <c r="X611">
        <v>2024</v>
      </c>
      <c r="Y611" t="s">
        <v>123</v>
      </c>
      <c r="Z611" t="s">
        <v>70</v>
      </c>
      <c r="AA611" t="s">
        <v>41</v>
      </c>
    </row>
    <row r="612" spans="1:27" x14ac:dyDescent="0.3">
      <c r="A612" t="s">
        <v>731</v>
      </c>
      <c r="B612" t="s">
        <v>28</v>
      </c>
      <c r="C612">
        <v>36</v>
      </c>
      <c r="D612" t="s">
        <v>65</v>
      </c>
      <c r="E612" t="s">
        <v>72</v>
      </c>
      <c r="F612" t="s">
        <v>31</v>
      </c>
      <c r="G612">
        <v>46926</v>
      </c>
      <c r="H612" s="1">
        <v>43740</v>
      </c>
      <c r="I612" t="s">
        <v>98</v>
      </c>
      <c r="J612" t="s">
        <v>101</v>
      </c>
      <c r="K612" t="s">
        <v>49</v>
      </c>
      <c r="L612">
        <v>5</v>
      </c>
      <c r="M612">
        <v>1</v>
      </c>
      <c r="N612">
        <v>3</v>
      </c>
      <c r="O612" t="s">
        <v>35</v>
      </c>
      <c r="P612" t="s">
        <v>36</v>
      </c>
      <c r="Q612">
        <v>174</v>
      </c>
      <c r="R612">
        <v>12</v>
      </c>
      <c r="S612">
        <v>21</v>
      </c>
      <c r="T612" t="s">
        <v>36</v>
      </c>
      <c r="U612" t="s">
        <v>36</v>
      </c>
      <c r="V612" t="s">
        <v>36</v>
      </c>
      <c r="W612" t="s">
        <v>60</v>
      </c>
      <c r="X612">
        <v>2019</v>
      </c>
      <c r="Y612" t="s">
        <v>83</v>
      </c>
      <c r="Z612" t="s">
        <v>62</v>
      </c>
      <c r="AA612" t="s">
        <v>41</v>
      </c>
    </row>
    <row r="613" spans="1:27" x14ac:dyDescent="0.3">
      <c r="A613" t="s">
        <v>732</v>
      </c>
      <c r="B613" t="s">
        <v>28</v>
      </c>
      <c r="C613">
        <v>31</v>
      </c>
      <c r="D613" t="s">
        <v>65</v>
      </c>
      <c r="E613" t="s">
        <v>147</v>
      </c>
      <c r="F613" t="s">
        <v>46</v>
      </c>
      <c r="G613">
        <v>106210</v>
      </c>
      <c r="H613" s="1">
        <v>44255</v>
      </c>
      <c r="I613" t="s">
        <v>47</v>
      </c>
      <c r="J613" t="s">
        <v>67</v>
      </c>
      <c r="K613" t="s">
        <v>34</v>
      </c>
      <c r="L613">
        <v>5</v>
      </c>
      <c r="M613">
        <v>3</v>
      </c>
      <c r="N613">
        <v>3</v>
      </c>
      <c r="O613" t="s">
        <v>68</v>
      </c>
      <c r="P613" t="s">
        <v>36</v>
      </c>
      <c r="Q613">
        <v>224</v>
      </c>
      <c r="R613">
        <v>14</v>
      </c>
      <c r="S613">
        <v>20</v>
      </c>
      <c r="T613" t="s">
        <v>37</v>
      </c>
      <c r="U613" t="s">
        <v>36</v>
      </c>
      <c r="V613" t="s">
        <v>36</v>
      </c>
      <c r="W613" t="s">
        <v>60</v>
      </c>
      <c r="X613">
        <v>2021</v>
      </c>
      <c r="Y613" t="s">
        <v>39</v>
      </c>
      <c r="Z613" t="s">
        <v>40</v>
      </c>
      <c r="AA613" t="s">
        <v>87</v>
      </c>
    </row>
    <row r="614" spans="1:27" x14ac:dyDescent="0.3">
      <c r="A614" t="s">
        <v>733</v>
      </c>
      <c r="B614" t="s">
        <v>28</v>
      </c>
      <c r="C614">
        <v>33</v>
      </c>
      <c r="D614" t="s">
        <v>81</v>
      </c>
      <c r="E614" t="s">
        <v>113</v>
      </c>
      <c r="F614" t="s">
        <v>46</v>
      </c>
      <c r="G614">
        <v>101940</v>
      </c>
      <c r="H614" s="1">
        <v>43984</v>
      </c>
      <c r="I614" t="s">
        <v>98</v>
      </c>
      <c r="J614" t="s">
        <v>67</v>
      </c>
      <c r="K614" t="s">
        <v>34</v>
      </c>
      <c r="L614">
        <v>6</v>
      </c>
      <c r="M614">
        <v>5</v>
      </c>
      <c r="N614">
        <v>5</v>
      </c>
      <c r="O614" t="s">
        <v>59</v>
      </c>
      <c r="P614" t="s">
        <v>36</v>
      </c>
      <c r="Q614">
        <v>248</v>
      </c>
      <c r="R614">
        <v>31</v>
      </c>
      <c r="S614">
        <v>7</v>
      </c>
      <c r="T614" t="s">
        <v>37</v>
      </c>
      <c r="U614" t="s">
        <v>36</v>
      </c>
      <c r="V614" t="s">
        <v>36</v>
      </c>
      <c r="W614" t="s">
        <v>60</v>
      </c>
      <c r="X614">
        <v>2020</v>
      </c>
      <c r="Y614" t="s">
        <v>61</v>
      </c>
      <c r="Z614" t="s">
        <v>40</v>
      </c>
      <c r="AA614" t="s">
        <v>87</v>
      </c>
    </row>
    <row r="615" spans="1:27" x14ac:dyDescent="0.3">
      <c r="A615" t="s">
        <v>734</v>
      </c>
      <c r="B615" t="s">
        <v>28</v>
      </c>
      <c r="C615">
        <v>24</v>
      </c>
      <c r="D615" t="s">
        <v>54</v>
      </c>
      <c r="E615" t="s">
        <v>111</v>
      </c>
      <c r="F615" t="s">
        <v>31</v>
      </c>
      <c r="G615">
        <v>47400</v>
      </c>
      <c r="H615" s="1">
        <v>43467</v>
      </c>
      <c r="I615" t="s">
        <v>47</v>
      </c>
      <c r="J615" t="s">
        <v>91</v>
      </c>
      <c r="K615" t="s">
        <v>49</v>
      </c>
      <c r="L615">
        <v>5</v>
      </c>
      <c r="M615">
        <v>3</v>
      </c>
      <c r="N615">
        <v>1</v>
      </c>
      <c r="O615" t="s">
        <v>35</v>
      </c>
      <c r="P615" t="s">
        <v>37</v>
      </c>
      <c r="Q615">
        <v>167</v>
      </c>
      <c r="R615">
        <v>35</v>
      </c>
      <c r="S615">
        <v>19</v>
      </c>
      <c r="T615" t="s">
        <v>36</v>
      </c>
      <c r="U615" t="s">
        <v>36</v>
      </c>
      <c r="V615" t="s">
        <v>36</v>
      </c>
      <c r="W615" t="s">
        <v>126</v>
      </c>
      <c r="X615">
        <v>2019</v>
      </c>
      <c r="Y615" t="s">
        <v>94</v>
      </c>
      <c r="Z615" t="s">
        <v>104</v>
      </c>
      <c r="AA615" t="s">
        <v>41</v>
      </c>
    </row>
    <row r="616" spans="1:27" x14ac:dyDescent="0.3">
      <c r="A616" t="s">
        <v>735</v>
      </c>
      <c r="B616" t="s">
        <v>43</v>
      </c>
      <c r="C616">
        <v>49</v>
      </c>
      <c r="D616" t="s">
        <v>89</v>
      </c>
      <c r="E616" t="s">
        <v>144</v>
      </c>
      <c r="F616" t="s">
        <v>46</v>
      </c>
      <c r="G616">
        <v>99208</v>
      </c>
      <c r="H616" s="1">
        <v>45639</v>
      </c>
      <c r="I616" t="s">
        <v>47</v>
      </c>
      <c r="J616" t="s">
        <v>101</v>
      </c>
      <c r="K616" t="s">
        <v>49</v>
      </c>
      <c r="L616">
        <v>10</v>
      </c>
      <c r="M616">
        <v>1</v>
      </c>
      <c r="N616">
        <v>5</v>
      </c>
      <c r="O616" t="s">
        <v>50</v>
      </c>
      <c r="P616" t="s">
        <v>37</v>
      </c>
      <c r="Q616">
        <v>171</v>
      </c>
      <c r="R616">
        <v>20</v>
      </c>
      <c r="S616">
        <v>19</v>
      </c>
      <c r="T616" t="s">
        <v>36</v>
      </c>
      <c r="U616" t="s">
        <v>36</v>
      </c>
      <c r="V616" t="s">
        <v>36</v>
      </c>
      <c r="W616" t="s">
        <v>60</v>
      </c>
      <c r="X616">
        <v>2024</v>
      </c>
      <c r="Y616" t="s">
        <v>116</v>
      </c>
      <c r="Z616" t="s">
        <v>70</v>
      </c>
      <c r="AA616" t="s">
        <v>87</v>
      </c>
    </row>
    <row r="617" spans="1:27" x14ac:dyDescent="0.3">
      <c r="A617" t="s">
        <v>736</v>
      </c>
      <c r="B617" t="s">
        <v>28</v>
      </c>
      <c r="C617">
        <v>32</v>
      </c>
      <c r="D617" t="s">
        <v>29</v>
      </c>
      <c r="E617" t="s">
        <v>30</v>
      </c>
      <c r="F617" t="s">
        <v>96</v>
      </c>
      <c r="G617">
        <v>135349</v>
      </c>
      <c r="H617" s="1">
        <v>45203</v>
      </c>
      <c r="I617" t="s">
        <v>57</v>
      </c>
      <c r="J617" t="s">
        <v>33</v>
      </c>
      <c r="K617" t="s">
        <v>49</v>
      </c>
      <c r="L617">
        <v>19</v>
      </c>
      <c r="M617">
        <v>2</v>
      </c>
      <c r="N617">
        <v>5</v>
      </c>
      <c r="O617" t="s">
        <v>50</v>
      </c>
      <c r="P617" t="s">
        <v>36</v>
      </c>
      <c r="Q617">
        <v>174</v>
      </c>
      <c r="R617">
        <v>72</v>
      </c>
      <c r="S617">
        <v>8</v>
      </c>
      <c r="T617" t="s">
        <v>37</v>
      </c>
      <c r="U617" t="s">
        <v>36</v>
      </c>
      <c r="V617" t="s">
        <v>36</v>
      </c>
      <c r="W617" t="s">
        <v>60</v>
      </c>
      <c r="X617">
        <v>2023</v>
      </c>
      <c r="Y617" t="s">
        <v>83</v>
      </c>
      <c r="Z617" t="s">
        <v>40</v>
      </c>
      <c r="AA617" t="s">
        <v>105</v>
      </c>
    </row>
    <row r="618" spans="1:27" x14ac:dyDescent="0.3">
      <c r="A618" t="s">
        <v>737</v>
      </c>
      <c r="B618" t="s">
        <v>43</v>
      </c>
      <c r="C618">
        <v>32</v>
      </c>
      <c r="D618" t="s">
        <v>54</v>
      </c>
      <c r="E618" t="s">
        <v>207</v>
      </c>
      <c r="F618" t="s">
        <v>46</v>
      </c>
      <c r="G618">
        <v>97951</v>
      </c>
      <c r="H618" s="1">
        <v>45951</v>
      </c>
      <c r="I618" t="s">
        <v>107</v>
      </c>
      <c r="J618" t="s">
        <v>67</v>
      </c>
      <c r="K618" t="s">
        <v>34</v>
      </c>
      <c r="L618">
        <v>5</v>
      </c>
      <c r="M618">
        <v>3</v>
      </c>
      <c r="N618">
        <v>1</v>
      </c>
      <c r="O618" t="s">
        <v>35</v>
      </c>
      <c r="P618" t="s">
        <v>36</v>
      </c>
      <c r="Q618">
        <v>185</v>
      </c>
      <c r="R618">
        <v>78</v>
      </c>
      <c r="S618">
        <v>28</v>
      </c>
      <c r="T618" t="s">
        <v>37</v>
      </c>
      <c r="U618" t="s">
        <v>36</v>
      </c>
      <c r="V618" t="s">
        <v>36</v>
      </c>
      <c r="W618" t="s">
        <v>126</v>
      </c>
      <c r="X618">
        <v>2025</v>
      </c>
      <c r="Y618" t="s">
        <v>83</v>
      </c>
      <c r="Z618" t="s">
        <v>40</v>
      </c>
      <c r="AA618" t="s">
        <v>87</v>
      </c>
    </row>
    <row r="619" spans="1:27" x14ac:dyDescent="0.3">
      <c r="A619" t="s">
        <v>738</v>
      </c>
      <c r="B619" t="s">
        <v>43</v>
      </c>
      <c r="C619">
        <v>37</v>
      </c>
      <c r="D619" t="s">
        <v>89</v>
      </c>
      <c r="E619" t="s">
        <v>90</v>
      </c>
      <c r="F619" t="s">
        <v>96</v>
      </c>
      <c r="G619">
        <v>103616</v>
      </c>
      <c r="H619" s="1">
        <v>44979</v>
      </c>
      <c r="I619" t="s">
        <v>32</v>
      </c>
      <c r="J619" t="s">
        <v>48</v>
      </c>
      <c r="K619" t="s">
        <v>49</v>
      </c>
      <c r="L619">
        <v>8</v>
      </c>
      <c r="M619">
        <v>1</v>
      </c>
      <c r="N619">
        <v>5</v>
      </c>
      <c r="O619" t="s">
        <v>35</v>
      </c>
      <c r="P619" t="s">
        <v>36</v>
      </c>
      <c r="Q619">
        <v>169</v>
      </c>
      <c r="R619">
        <v>12</v>
      </c>
      <c r="S619">
        <v>16</v>
      </c>
      <c r="T619" t="s">
        <v>36</v>
      </c>
      <c r="U619" t="s">
        <v>36</v>
      </c>
      <c r="V619" t="s">
        <v>36</v>
      </c>
      <c r="W619" t="s">
        <v>60</v>
      </c>
      <c r="X619">
        <v>2023</v>
      </c>
      <c r="Y619" t="s">
        <v>39</v>
      </c>
      <c r="Z619" t="s">
        <v>62</v>
      </c>
      <c r="AA619" t="s">
        <v>87</v>
      </c>
    </row>
    <row r="620" spans="1:27" x14ac:dyDescent="0.3">
      <c r="A620" t="s">
        <v>739</v>
      </c>
      <c r="B620" t="s">
        <v>43</v>
      </c>
      <c r="C620">
        <v>35</v>
      </c>
      <c r="D620" t="s">
        <v>54</v>
      </c>
      <c r="E620" t="s">
        <v>207</v>
      </c>
      <c r="F620" t="s">
        <v>31</v>
      </c>
      <c r="G620">
        <v>63466</v>
      </c>
      <c r="H620" s="1">
        <v>43534</v>
      </c>
      <c r="I620" t="s">
        <v>47</v>
      </c>
      <c r="J620" t="s">
        <v>118</v>
      </c>
      <c r="K620" t="s">
        <v>34</v>
      </c>
      <c r="L620">
        <v>6</v>
      </c>
      <c r="M620">
        <v>3</v>
      </c>
      <c r="N620">
        <v>3</v>
      </c>
      <c r="O620" t="s">
        <v>35</v>
      </c>
      <c r="P620" t="s">
        <v>36</v>
      </c>
      <c r="Q620">
        <v>171</v>
      </c>
      <c r="R620">
        <v>13</v>
      </c>
      <c r="S620">
        <v>8</v>
      </c>
      <c r="T620" t="s">
        <v>36</v>
      </c>
      <c r="U620" t="s">
        <v>36</v>
      </c>
      <c r="V620" t="s">
        <v>36</v>
      </c>
      <c r="W620" t="s">
        <v>60</v>
      </c>
      <c r="X620">
        <v>2019</v>
      </c>
      <c r="Y620" t="s">
        <v>142</v>
      </c>
      <c r="Z620" t="s">
        <v>40</v>
      </c>
      <c r="AA620" t="s">
        <v>52</v>
      </c>
    </row>
    <row r="621" spans="1:27" x14ac:dyDescent="0.3">
      <c r="A621" t="s">
        <v>740</v>
      </c>
      <c r="B621" t="s">
        <v>43</v>
      </c>
      <c r="C621">
        <v>33</v>
      </c>
      <c r="D621" t="s">
        <v>54</v>
      </c>
      <c r="E621" t="s">
        <v>111</v>
      </c>
      <c r="F621" t="s">
        <v>96</v>
      </c>
      <c r="G621">
        <v>95833</v>
      </c>
      <c r="H621" s="1">
        <v>45958</v>
      </c>
      <c r="I621" t="s">
        <v>98</v>
      </c>
      <c r="J621" t="s">
        <v>91</v>
      </c>
      <c r="K621" t="s">
        <v>58</v>
      </c>
      <c r="L621">
        <v>12</v>
      </c>
      <c r="M621">
        <v>2</v>
      </c>
      <c r="N621">
        <v>5</v>
      </c>
      <c r="O621" t="s">
        <v>50</v>
      </c>
      <c r="P621" t="s">
        <v>36</v>
      </c>
      <c r="Q621">
        <v>172</v>
      </c>
      <c r="R621">
        <v>64</v>
      </c>
      <c r="S621">
        <v>20</v>
      </c>
      <c r="T621" t="s">
        <v>36</v>
      </c>
      <c r="U621" t="s">
        <v>37</v>
      </c>
      <c r="V621" t="s">
        <v>36</v>
      </c>
      <c r="W621" t="s">
        <v>60</v>
      </c>
      <c r="X621">
        <v>2025</v>
      </c>
      <c r="Y621" t="s">
        <v>83</v>
      </c>
      <c r="Z621" t="s">
        <v>40</v>
      </c>
      <c r="AA621" t="s">
        <v>87</v>
      </c>
    </row>
    <row r="622" spans="1:27" x14ac:dyDescent="0.3">
      <c r="A622" t="s">
        <v>741</v>
      </c>
      <c r="B622" t="s">
        <v>43</v>
      </c>
      <c r="C622">
        <v>26</v>
      </c>
      <c r="D622" t="s">
        <v>54</v>
      </c>
      <c r="E622" t="s">
        <v>153</v>
      </c>
      <c r="F622" t="s">
        <v>56</v>
      </c>
      <c r="G622">
        <v>33980</v>
      </c>
      <c r="H622" s="1">
        <v>44226</v>
      </c>
      <c r="I622" t="s">
        <v>32</v>
      </c>
      <c r="J622" t="s">
        <v>91</v>
      </c>
      <c r="K622" t="s">
        <v>49</v>
      </c>
      <c r="L622">
        <v>0</v>
      </c>
      <c r="M622">
        <v>3</v>
      </c>
      <c r="N622">
        <v>5</v>
      </c>
      <c r="O622" t="s">
        <v>35</v>
      </c>
      <c r="P622" t="s">
        <v>36</v>
      </c>
      <c r="Q622">
        <v>152</v>
      </c>
      <c r="R622">
        <v>36</v>
      </c>
      <c r="S622">
        <v>11</v>
      </c>
      <c r="T622" t="s">
        <v>36</v>
      </c>
      <c r="U622" t="s">
        <v>36</v>
      </c>
      <c r="V622" t="s">
        <v>36</v>
      </c>
      <c r="W622" t="s">
        <v>60</v>
      </c>
      <c r="X622">
        <v>2021</v>
      </c>
      <c r="Y622" t="s">
        <v>94</v>
      </c>
      <c r="Z622" t="s">
        <v>75</v>
      </c>
      <c r="AA622" t="s">
        <v>63</v>
      </c>
    </row>
    <row r="623" spans="1:27" x14ac:dyDescent="0.3">
      <c r="A623" t="s">
        <v>742</v>
      </c>
      <c r="B623" t="s">
        <v>28</v>
      </c>
      <c r="C623">
        <v>35</v>
      </c>
      <c r="D623" t="s">
        <v>81</v>
      </c>
      <c r="E623" t="s">
        <v>201</v>
      </c>
      <c r="F623" t="s">
        <v>96</v>
      </c>
      <c r="G623">
        <v>127627</v>
      </c>
      <c r="H623" s="1">
        <v>44608</v>
      </c>
      <c r="I623" t="s">
        <v>107</v>
      </c>
      <c r="J623" t="s">
        <v>33</v>
      </c>
      <c r="K623" t="s">
        <v>58</v>
      </c>
      <c r="L623">
        <v>10</v>
      </c>
      <c r="M623">
        <v>2</v>
      </c>
      <c r="N623">
        <v>5</v>
      </c>
      <c r="O623" t="s">
        <v>50</v>
      </c>
      <c r="P623" t="s">
        <v>36</v>
      </c>
      <c r="Q623">
        <v>202</v>
      </c>
      <c r="R623">
        <v>38</v>
      </c>
      <c r="S623">
        <v>24</v>
      </c>
      <c r="T623" t="s">
        <v>36</v>
      </c>
      <c r="U623" t="s">
        <v>36</v>
      </c>
      <c r="V623" t="s">
        <v>36</v>
      </c>
      <c r="W623" t="s">
        <v>60</v>
      </c>
      <c r="X623">
        <v>2022</v>
      </c>
      <c r="Y623" t="s">
        <v>39</v>
      </c>
      <c r="Z623" t="s">
        <v>40</v>
      </c>
      <c r="AA623" t="s">
        <v>87</v>
      </c>
    </row>
    <row r="624" spans="1:27" x14ac:dyDescent="0.3">
      <c r="A624" t="s">
        <v>743</v>
      </c>
      <c r="B624" t="s">
        <v>28</v>
      </c>
      <c r="C624">
        <v>45</v>
      </c>
      <c r="D624" t="s">
        <v>89</v>
      </c>
      <c r="E624" t="s">
        <v>144</v>
      </c>
      <c r="F624" t="s">
        <v>46</v>
      </c>
      <c r="G624">
        <v>87862</v>
      </c>
      <c r="H624" s="1">
        <v>45307</v>
      </c>
      <c r="I624" t="s">
        <v>32</v>
      </c>
      <c r="J624" t="s">
        <v>118</v>
      </c>
      <c r="K624" t="s">
        <v>49</v>
      </c>
      <c r="L624">
        <v>13</v>
      </c>
      <c r="M624">
        <v>2</v>
      </c>
      <c r="N624">
        <v>1</v>
      </c>
      <c r="O624" t="s">
        <v>50</v>
      </c>
      <c r="P624" t="s">
        <v>36</v>
      </c>
      <c r="Q624">
        <v>199</v>
      </c>
      <c r="R624">
        <v>31</v>
      </c>
      <c r="S624">
        <v>12</v>
      </c>
      <c r="T624" t="s">
        <v>36</v>
      </c>
      <c r="U624" t="s">
        <v>36</v>
      </c>
      <c r="V624" t="s">
        <v>36</v>
      </c>
      <c r="W624" t="s">
        <v>60</v>
      </c>
      <c r="X624">
        <v>2024</v>
      </c>
      <c r="Y624" t="s">
        <v>94</v>
      </c>
      <c r="Z624" t="s">
        <v>70</v>
      </c>
      <c r="AA624" t="s">
        <v>52</v>
      </c>
    </row>
    <row r="625" spans="1:27" x14ac:dyDescent="0.3">
      <c r="A625" t="s">
        <v>744</v>
      </c>
      <c r="B625" t="s">
        <v>28</v>
      </c>
      <c r="C625">
        <v>41</v>
      </c>
      <c r="D625" t="s">
        <v>44</v>
      </c>
      <c r="E625" t="s">
        <v>109</v>
      </c>
      <c r="F625" t="s">
        <v>31</v>
      </c>
      <c r="G625">
        <v>57325</v>
      </c>
      <c r="H625" s="1">
        <v>43594</v>
      </c>
      <c r="I625" t="s">
        <v>47</v>
      </c>
      <c r="J625" t="s">
        <v>91</v>
      </c>
      <c r="K625" t="s">
        <v>49</v>
      </c>
      <c r="L625">
        <v>4</v>
      </c>
      <c r="M625">
        <v>1</v>
      </c>
      <c r="N625">
        <v>5</v>
      </c>
      <c r="O625" t="s">
        <v>59</v>
      </c>
      <c r="P625" t="s">
        <v>36</v>
      </c>
      <c r="Q625">
        <v>230</v>
      </c>
      <c r="R625">
        <v>80</v>
      </c>
      <c r="S625">
        <v>30</v>
      </c>
      <c r="T625" t="s">
        <v>37</v>
      </c>
      <c r="U625" t="s">
        <v>36</v>
      </c>
      <c r="V625" t="s">
        <v>36</v>
      </c>
      <c r="W625" t="s">
        <v>60</v>
      </c>
      <c r="X625">
        <v>2019</v>
      </c>
      <c r="Y625" t="s">
        <v>74</v>
      </c>
      <c r="Z625" t="s">
        <v>70</v>
      </c>
      <c r="AA625" t="s">
        <v>41</v>
      </c>
    </row>
    <row r="626" spans="1:27" x14ac:dyDescent="0.3">
      <c r="A626" t="s">
        <v>745</v>
      </c>
      <c r="B626" t="s">
        <v>28</v>
      </c>
      <c r="C626">
        <v>43</v>
      </c>
      <c r="D626" t="s">
        <v>65</v>
      </c>
      <c r="E626" t="s">
        <v>120</v>
      </c>
      <c r="F626" t="s">
        <v>31</v>
      </c>
      <c r="G626">
        <v>55808</v>
      </c>
      <c r="H626" s="1">
        <v>44836</v>
      </c>
      <c r="I626" t="s">
        <v>98</v>
      </c>
      <c r="J626" t="s">
        <v>73</v>
      </c>
      <c r="K626" t="s">
        <v>58</v>
      </c>
      <c r="L626">
        <v>5</v>
      </c>
      <c r="M626">
        <v>3</v>
      </c>
      <c r="N626">
        <v>1</v>
      </c>
      <c r="O626" t="s">
        <v>59</v>
      </c>
      <c r="P626" t="s">
        <v>37</v>
      </c>
      <c r="Q626">
        <v>195</v>
      </c>
      <c r="R626">
        <v>63</v>
      </c>
      <c r="S626">
        <v>20</v>
      </c>
      <c r="T626" t="s">
        <v>36</v>
      </c>
      <c r="U626" t="s">
        <v>36</v>
      </c>
      <c r="V626" t="s">
        <v>37</v>
      </c>
      <c r="W626" t="s">
        <v>38</v>
      </c>
      <c r="X626">
        <v>2022</v>
      </c>
      <c r="Y626" t="s">
        <v>83</v>
      </c>
      <c r="Z626" t="s">
        <v>70</v>
      </c>
      <c r="AA626" t="s">
        <v>41</v>
      </c>
    </row>
    <row r="627" spans="1:27" x14ac:dyDescent="0.3">
      <c r="A627" t="s">
        <v>746</v>
      </c>
      <c r="B627" t="s">
        <v>43</v>
      </c>
      <c r="C627">
        <v>28</v>
      </c>
      <c r="D627" t="s">
        <v>77</v>
      </c>
      <c r="E627" t="s">
        <v>133</v>
      </c>
      <c r="F627" t="s">
        <v>31</v>
      </c>
      <c r="G627">
        <v>50276</v>
      </c>
      <c r="H627" s="1">
        <v>44994</v>
      </c>
      <c r="I627" t="s">
        <v>32</v>
      </c>
      <c r="J627" t="s">
        <v>48</v>
      </c>
      <c r="K627" t="s">
        <v>49</v>
      </c>
      <c r="L627">
        <v>7</v>
      </c>
      <c r="M627">
        <v>5</v>
      </c>
      <c r="N627">
        <v>3</v>
      </c>
      <c r="O627" t="s">
        <v>59</v>
      </c>
      <c r="P627" t="s">
        <v>36</v>
      </c>
      <c r="Q627">
        <v>236</v>
      </c>
      <c r="R627">
        <v>39</v>
      </c>
      <c r="S627">
        <v>20</v>
      </c>
      <c r="T627" t="s">
        <v>36</v>
      </c>
      <c r="U627" t="s">
        <v>36</v>
      </c>
      <c r="V627" t="s">
        <v>36</v>
      </c>
      <c r="W627" t="s">
        <v>60</v>
      </c>
      <c r="X627">
        <v>2023</v>
      </c>
      <c r="Y627" t="s">
        <v>142</v>
      </c>
      <c r="Z627" t="s">
        <v>75</v>
      </c>
      <c r="AA627" t="s">
        <v>41</v>
      </c>
    </row>
    <row r="628" spans="1:27" x14ac:dyDescent="0.3">
      <c r="A628" t="s">
        <v>747</v>
      </c>
      <c r="B628" t="s">
        <v>28</v>
      </c>
      <c r="C628">
        <v>25</v>
      </c>
      <c r="D628" t="s">
        <v>85</v>
      </c>
      <c r="E628" t="s">
        <v>151</v>
      </c>
      <c r="F628" t="s">
        <v>31</v>
      </c>
      <c r="G628">
        <v>60611</v>
      </c>
      <c r="H628" s="1">
        <v>43998</v>
      </c>
      <c r="I628" t="s">
        <v>47</v>
      </c>
      <c r="J628" t="s">
        <v>118</v>
      </c>
      <c r="K628" t="s">
        <v>58</v>
      </c>
      <c r="L628">
        <v>3</v>
      </c>
      <c r="M628">
        <v>3</v>
      </c>
      <c r="N628">
        <v>1</v>
      </c>
      <c r="O628" t="s">
        <v>59</v>
      </c>
      <c r="P628" t="s">
        <v>37</v>
      </c>
      <c r="Q628">
        <v>189</v>
      </c>
      <c r="R628">
        <v>5</v>
      </c>
      <c r="S628">
        <v>23</v>
      </c>
      <c r="T628" t="s">
        <v>37</v>
      </c>
      <c r="U628" t="s">
        <v>36</v>
      </c>
      <c r="V628" t="s">
        <v>36</v>
      </c>
      <c r="W628" t="s">
        <v>60</v>
      </c>
      <c r="X628">
        <v>2020</v>
      </c>
      <c r="Y628" t="s">
        <v>61</v>
      </c>
      <c r="Z628" t="s">
        <v>104</v>
      </c>
      <c r="AA628" t="s">
        <v>52</v>
      </c>
    </row>
    <row r="629" spans="1:27" x14ac:dyDescent="0.3">
      <c r="A629" t="s">
        <v>748</v>
      </c>
      <c r="B629" t="s">
        <v>28</v>
      </c>
      <c r="C629">
        <v>31</v>
      </c>
      <c r="D629" t="s">
        <v>81</v>
      </c>
      <c r="E629" t="s">
        <v>82</v>
      </c>
      <c r="F629" t="s">
        <v>56</v>
      </c>
      <c r="G629">
        <v>34048</v>
      </c>
      <c r="H629" s="1">
        <v>44298</v>
      </c>
      <c r="I629" t="s">
        <v>107</v>
      </c>
      <c r="J629" t="s">
        <v>99</v>
      </c>
      <c r="K629" t="s">
        <v>49</v>
      </c>
      <c r="L629">
        <v>1</v>
      </c>
      <c r="M629">
        <v>4</v>
      </c>
      <c r="N629">
        <v>1</v>
      </c>
      <c r="O629" t="s">
        <v>68</v>
      </c>
      <c r="P629" t="s">
        <v>36</v>
      </c>
      <c r="Q629">
        <v>181</v>
      </c>
      <c r="R629">
        <v>49</v>
      </c>
      <c r="S629">
        <v>5</v>
      </c>
      <c r="T629" t="s">
        <v>36</v>
      </c>
      <c r="U629" t="s">
        <v>36</v>
      </c>
      <c r="V629" t="s">
        <v>36</v>
      </c>
      <c r="W629" t="s">
        <v>126</v>
      </c>
      <c r="X629">
        <v>2021</v>
      </c>
      <c r="Y629" t="s">
        <v>69</v>
      </c>
      <c r="Z629" t="s">
        <v>40</v>
      </c>
      <c r="AA629" t="s">
        <v>63</v>
      </c>
    </row>
    <row r="630" spans="1:27" x14ac:dyDescent="0.3">
      <c r="A630" t="s">
        <v>749</v>
      </c>
      <c r="B630" t="s">
        <v>28</v>
      </c>
      <c r="C630">
        <v>32</v>
      </c>
      <c r="D630" t="s">
        <v>89</v>
      </c>
      <c r="E630" t="s">
        <v>130</v>
      </c>
      <c r="F630" t="s">
        <v>96</v>
      </c>
      <c r="G630">
        <v>121816</v>
      </c>
      <c r="H630" s="1">
        <v>43858</v>
      </c>
      <c r="I630" t="s">
        <v>107</v>
      </c>
      <c r="J630" t="s">
        <v>67</v>
      </c>
      <c r="K630" t="s">
        <v>34</v>
      </c>
      <c r="L630">
        <v>20</v>
      </c>
      <c r="M630">
        <v>4</v>
      </c>
      <c r="N630">
        <v>2</v>
      </c>
      <c r="O630" t="s">
        <v>59</v>
      </c>
      <c r="P630" t="s">
        <v>36</v>
      </c>
      <c r="Q630">
        <v>247</v>
      </c>
      <c r="R630">
        <v>55</v>
      </c>
      <c r="S630">
        <v>19</v>
      </c>
      <c r="T630" t="s">
        <v>37</v>
      </c>
      <c r="U630" t="s">
        <v>36</v>
      </c>
      <c r="V630" t="s">
        <v>36</v>
      </c>
      <c r="W630" t="s">
        <v>60</v>
      </c>
      <c r="X630">
        <v>2020</v>
      </c>
      <c r="Y630" t="s">
        <v>94</v>
      </c>
      <c r="Z630" t="s">
        <v>40</v>
      </c>
      <c r="AA630" t="s">
        <v>87</v>
      </c>
    </row>
    <row r="631" spans="1:27" x14ac:dyDescent="0.3">
      <c r="A631" t="s">
        <v>750</v>
      </c>
      <c r="B631" t="s">
        <v>43</v>
      </c>
      <c r="C631">
        <v>39</v>
      </c>
      <c r="D631" t="s">
        <v>29</v>
      </c>
      <c r="E631" t="s">
        <v>93</v>
      </c>
      <c r="F631" t="s">
        <v>31</v>
      </c>
      <c r="G631">
        <v>67160</v>
      </c>
      <c r="H631" s="1">
        <v>44977</v>
      </c>
      <c r="I631" t="s">
        <v>47</v>
      </c>
      <c r="J631" t="s">
        <v>48</v>
      </c>
      <c r="K631" t="s">
        <v>34</v>
      </c>
      <c r="L631">
        <v>3</v>
      </c>
      <c r="M631">
        <v>3</v>
      </c>
      <c r="N631">
        <v>3</v>
      </c>
      <c r="O631" t="s">
        <v>68</v>
      </c>
      <c r="P631" t="s">
        <v>36</v>
      </c>
      <c r="Q631">
        <v>255</v>
      </c>
      <c r="R631">
        <v>22</v>
      </c>
      <c r="S631">
        <v>17</v>
      </c>
      <c r="T631" t="s">
        <v>37</v>
      </c>
      <c r="U631" t="s">
        <v>37</v>
      </c>
      <c r="V631" t="s">
        <v>36</v>
      </c>
      <c r="W631" t="s">
        <v>60</v>
      </c>
      <c r="X631">
        <v>2023</v>
      </c>
      <c r="Y631" t="s">
        <v>39</v>
      </c>
      <c r="Z631" t="s">
        <v>62</v>
      </c>
      <c r="AA631" t="s">
        <v>52</v>
      </c>
    </row>
    <row r="632" spans="1:27" x14ac:dyDescent="0.3">
      <c r="A632" t="s">
        <v>751</v>
      </c>
      <c r="B632" t="s">
        <v>28</v>
      </c>
      <c r="C632">
        <v>21</v>
      </c>
      <c r="D632" t="s">
        <v>81</v>
      </c>
      <c r="E632" t="s">
        <v>165</v>
      </c>
      <c r="F632" t="s">
        <v>56</v>
      </c>
      <c r="G632">
        <v>39127</v>
      </c>
      <c r="H632" s="1">
        <v>46144</v>
      </c>
      <c r="I632" t="s">
        <v>47</v>
      </c>
      <c r="J632" t="s">
        <v>99</v>
      </c>
      <c r="K632" t="s">
        <v>49</v>
      </c>
      <c r="L632">
        <v>3</v>
      </c>
      <c r="M632">
        <v>2</v>
      </c>
      <c r="N632">
        <v>4</v>
      </c>
      <c r="O632" t="s">
        <v>59</v>
      </c>
      <c r="P632" t="s">
        <v>37</v>
      </c>
      <c r="Q632">
        <v>186</v>
      </c>
      <c r="R632">
        <v>27</v>
      </c>
      <c r="S632">
        <v>7</v>
      </c>
      <c r="T632" t="s">
        <v>36</v>
      </c>
      <c r="U632" t="s">
        <v>36</v>
      </c>
      <c r="V632" t="s">
        <v>36</v>
      </c>
      <c r="W632" t="s">
        <v>60</v>
      </c>
      <c r="X632">
        <v>2026</v>
      </c>
      <c r="Y632" t="s">
        <v>74</v>
      </c>
      <c r="Z632" t="s">
        <v>104</v>
      </c>
      <c r="AA632" t="s">
        <v>63</v>
      </c>
    </row>
    <row r="633" spans="1:27" x14ac:dyDescent="0.3">
      <c r="A633" t="s">
        <v>752</v>
      </c>
      <c r="B633" t="s">
        <v>43</v>
      </c>
      <c r="C633">
        <v>42</v>
      </c>
      <c r="D633" t="s">
        <v>54</v>
      </c>
      <c r="E633" t="s">
        <v>207</v>
      </c>
      <c r="F633" t="s">
        <v>56</v>
      </c>
      <c r="G633">
        <v>41253</v>
      </c>
      <c r="H633" s="1">
        <v>44124</v>
      </c>
      <c r="I633" t="s">
        <v>57</v>
      </c>
      <c r="J633" t="s">
        <v>101</v>
      </c>
      <c r="K633" t="s">
        <v>34</v>
      </c>
      <c r="L633">
        <v>0</v>
      </c>
      <c r="M633">
        <v>3</v>
      </c>
      <c r="N633">
        <v>2</v>
      </c>
      <c r="O633" t="s">
        <v>59</v>
      </c>
      <c r="P633" t="s">
        <v>36</v>
      </c>
      <c r="Q633">
        <v>214</v>
      </c>
      <c r="R633">
        <v>59</v>
      </c>
      <c r="S633">
        <v>26</v>
      </c>
      <c r="T633" t="s">
        <v>37</v>
      </c>
      <c r="U633" t="s">
        <v>36</v>
      </c>
      <c r="V633" t="s">
        <v>36</v>
      </c>
      <c r="W633" t="s">
        <v>60</v>
      </c>
      <c r="X633">
        <v>2020</v>
      </c>
      <c r="Y633" t="s">
        <v>83</v>
      </c>
      <c r="Z633" t="s">
        <v>70</v>
      </c>
      <c r="AA633" t="s">
        <v>41</v>
      </c>
    </row>
    <row r="634" spans="1:27" x14ac:dyDescent="0.3">
      <c r="A634" t="s">
        <v>753</v>
      </c>
      <c r="B634" t="s">
        <v>43</v>
      </c>
      <c r="C634">
        <v>30</v>
      </c>
      <c r="D634" t="s">
        <v>81</v>
      </c>
      <c r="E634" t="s">
        <v>201</v>
      </c>
      <c r="F634" t="s">
        <v>96</v>
      </c>
      <c r="G634">
        <v>155806</v>
      </c>
      <c r="H634" s="1">
        <v>45405</v>
      </c>
      <c r="I634" t="s">
        <v>98</v>
      </c>
      <c r="J634" t="s">
        <v>118</v>
      </c>
      <c r="K634" t="s">
        <v>34</v>
      </c>
      <c r="L634">
        <v>13</v>
      </c>
      <c r="M634">
        <v>3</v>
      </c>
      <c r="N634">
        <v>5</v>
      </c>
      <c r="O634" t="s">
        <v>35</v>
      </c>
      <c r="P634" t="s">
        <v>36</v>
      </c>
      <c r="Q634">
        <v>164</v>
      </c>
      <c r="R634">
        <v>24</v>
      </c>
      <c r="S634">
        <v>2</v>
      </c>
      <c r="T634" t="s">
        <v>36</v>
      </c>
      <c r="U634" t="s">
        <v>36</v>
      </c>
      <c r="V634" t="s">
        <v>36</v>
      </c>
      <c r="W634" t="s">
        <v>60</v>
      </c>
      <c r="X634">
        <v>2024</v>
      </c>
      <c r="Y634" t="s">
        <v>69</v>
      </c>
      <c r="Z634" t="s">
        <v>75</v>
      </c>
      <c r="AA634" t="s">
        <v>105</v>
      </c>
    </row>
    <row r="635" spans="1:27" x14ac:dyDescent="0.3">
      <c r="A635" t="s">
        <v>754</v>
      </c>
      <c r="B635" t="s">
        <v>28</v>
      </c>
      <c r="C635">
        <v>29</v>
      </c>
      <c r="D635" t="s">
        <v>89</v>
      </c>
      <c r="E635" t="s">
        <v>130</v>
      </c>
      <c r="F635" t="s">
        <v>56</v>
      </c>
      <c r="G635">
        <v>43229</v>
      </c>
      <c r="H635" s="1">
        <v>43629</v>
      </c>
      <c r="I635" t="s">
        <v>107</v>
      </c>
      <c r="J635" t="s">
        <v>67</v>
      </c>
      <c r="K635" t="s">
        <v>49</v>
      </c>
      <c r="L635">
        <v>2</v>
      </c>
      <c r="M635">
        <v>1</v>
      </c>
      <c r="N635">
        <v>4</v>
      </c>
      <c r="O635" t="s">
        <v>50</v>
      </c>
      <c r="P635" t="s">
        <v>36</v>
      </c>
      <c r="Q635">
        <v>196</v>
      </c>
      <c r="R635">
        <v>42</v>
      </c>
      <c r="S635">
        <v>26</v>
      </c>
      <c r="T635" t="s">
        <v>37</v>
      </c>
      <c r="U635" t="s">
        <v>37</v>
      </c>
      <c r="V635" t="s">
        <v>36</v>
      </c>
      <c r="W635" t="s">
        <v>60</v>
      </c>
      <c r="X635">
        <v>2019</v>
      </c>
      <c r="Y635" t="s">
        <v>61</v>
      </c>
      <c r="Z635" t="s">
        <v>75</v>
      </c>
      <c r="AA635" t="s">
        <v>41</v>
      </c>
    </row>
    <row r="636" spans="1:27" x14ac:dyDescent="0.3">
      <c r="A636" t="s">
        <v>755</v>
      </c>
      <c r="B636" t="s">
        <v>28</v>
      </c>
      <c r="C636">
        <v>24</v>
      </c>
      <c r="D636" t="s">
        <v>81</v>
      </c>
      <c r="E636" t="s">
        <v>82</v>
      </c>
      <c r="F636" t="s">
        <v>96</v>
      </c>
      <c r="G636">
        <v>92296</v>
      </c>
      <c r="H636" s="1">
        <v>44795</v>
      </c>
      <c r="I636" t="s">
        <v>98</v>
      </c>
      <c r="J636" t="s">
        <v>118</v>
      </c>
      <c r="K636" t="s">
        <v>58</v>
      </c>
      <c r="L636">
        <v>15</v>
      </c>
      <c r="M636">
        <v>3</v>
      </c>
      <c r="N636">
        <v>1</v>
      </c>
      <c r="O636" t="s">
        <v>68</v>
      </c>
      <c r="P636" t="s">
        <v>36</v>
      </c>
      <c r="Q636">
        <v>164</v>
      </c>
      <c r="R636">
        <v>15</v>
      </c>
      <c r="S636">
        <v>19</v>
      </c>
      <c r="T636" t="s">
        <v>37</v>
      </c>
      <c r="U636" t="s">
        <v>36</v>
      </c>
      <c r="V636" t="s">
        <v>36</v>
      </c>
      <c r="W636" t="s">
        <v>60</v>
      </c>
      <c r="X636">
        <v>2022</v>
      </c>
      <c r="Y636" t="s">
        <v>128</v>
      </c>
      <c r="Z636" t="s">
        <v>104</v>
      </c>
      <c r="AA636" t="s">
        <v>87</v>
      </c>
    </row>
    <row r="637" spans="1:27" x14ac:dyDescent="0.3">
      <c r="A637" t="s">
        <v>756</v>
      </c>
      <c r="B637" t="s">
        <v>28</v>
      </c>
      <c r="C637">
        <v>21</v>
      </c>
      <c r="D637" t="s">
        <v>89</v>
      </c>
      <c r="E637" t="s">
        <v>130</v>
      </c>
      <c r="F637" t="s">
        <v>46</v>
      </c>
      <c r="G637">
        <v>87635</v>
      </c>
      <c r="H637" s="1">
        <v>45994</v>
      </c>
      <c r="I637" t="s">
        <v>107</v>
      </c>
      <c r="J637" t="s">
        <v>99</v>
      </c>
      <c r="K637" t="s">
        <v>58</v>
      </c>
      <c r="L637">
        <v>12</v>
      </c>
      <c r="M637">
        <v>2</v>
      </c>
      <c r="N637">
        <v>5</v>
      </c>
      <c r="O637" t="s">
        <v>35</v>
      </c>
      <c r="P637" t="s">
        <v>36</v>
      </c>
      <c r="Q637">
        <v>208</v>
      </c>
      <c r="R637">
        <v>53</v>
      </c>
      <c r="S637">
        <v>18</v>
      </c>
      <c r="T637" t="s">
        <v>36</v>
      </c>
      <c r="U637" t="s">
        <v>37</v>
      </c>
      <c r="V637" t="s">
        <v>37</v>
      </c>
      <c r="W637" t="s">
        <v>38</v>
      </c>
      <c r="X637">
        <v>2025</v>
      </c>
      <c r="Y637" t="s">
        <v>116</v>
      </c>
      <c r="Z637" t="s">
        <v>104</v>
      </c>
      <c r="AA637" t="s">
        <v>52</v>
      </c>
    </row>
    <row r="638" spans="1:27" x14ac:dyDescent="0.3">
      <c r="A638" t="s">
        <v>757</v>
      </c>
      <c r="B638" t="s">
        <v>28</v>
      </c>
      <c r="C638">
        <v>37</v>
      </c>
      <c r="D638" t="s">
        <v>65</v>
      </c>
      <c r="E638" t="s">
        <v>66</v>
      </c>
      <c r="F638" t="s">
        <v>96</v>
      </c>
      <c r="G638">
        <v>142525</v>
      </c>
      <c r="H638" s="1">
        <v>44219</v>
      </c>
      <c r="I638" t="s">
        <v>107</v>
      </c>
      <c r="J638" t="s">
        <v>33</v>
      </c>
      <c r="K638" t="s">
        <v>34</v>
      </c>
      <c r="L638">
        <v>8</v>
      </c>
      <c r="M638">
        <v>3</v>
      </c>
      <c r="N638">
        <v>1</v>
      </c>
      <c r="O638" t="s">
        <v>35</v>
      </c>
      <c r="P638" t="s">
        <v>36</v>
      </c>
      <c r="Q638">
        <v>164</v>
      </c>
      <c r="R638">
        <v>52</v>
      </c>
      <c r="S638">
        <v>20</v>
      </c>
      <c r="T638" t="s">
        <v>36</v>
      </c>
      <c r="U638" t="s">
        <v>36</v>
      </c>
      <c r="V638" t="s">
        <v>36</v>
      </c>
      <c r="W638" t="s">
        <v>60</v>
      </c>
      <c r="X638">
        <v>2021</v>
      </c>
      <c r="Y638" t="s">
        <v>94</v>
      </c>
      <c r="Z638" t="s">
        <v>62</v>
      </c>
      <c r="AA638" t="s">
        <v>105</v>
      </c>
    </row>
    <row r="639" spans="1:27" x14ac:dyDescent="0.3">
      <c r="A639" t="s">
        <v>758</v>
      </c>
      <c r="B639" t="s">
        <v>43</v>
      </c>
      <c r="C639">
        <v>32</v>
      </c>
      <c r="D639" t="s">
        <v>81</v>
      </c>
      <c r="E639" t="s">
        <v>113</v>
      </c>
      <c r="F639" t="s">
        <v>46</v>
      </c>
      <c r="G639">
        <v>97870</v>
      </c>
      <c r="H639" s="1">
        <v>45942</v>
      </c>
      <c r="I639" t="s">
        <v>32</v>
      </c>
      <c r="J639" t="s">
        <v>99</v>
      </c>
      <c r="K639" t="s">
        <v>49</v>
      </c>
      <c r="L639">
        <v>5</v>
      </c>
      <c r="M639">
        <v>4</v>
      </c>
      <c r="N639">
        <v>2</v>
      </c>
      <c r="O639" t="s">
        <v>68</v>
      </c>
      <c r="P639" t="s">
        <v>36</v>
      </c>
      <c r="Q639">
        <v>186</v>
      </c>
      <c r="R639">
        <v>40</v>
      </c>
      <c r="S639">
        <v>10</v>
      </c>
      <c r="T639" t="s">
        <v>36</v>
      </c>
      <c r="U639" t="s">
        <v>36</v>
      </c>
      <c r="V639" t="s">
        <v>37</v>
      </c>
      <c r="W639" t="s">
        <v>38</v>
      </c>
      <c r="X639">
        <v>2025</v>
      </c>
      <c r="Y639" t="s">
        <v>83</v>
      </c>
      <c r="Z639" t="s">
        <v>40</v>
      </c>
      <c r="AA639" t="s">
        <v>87</v>
      </c>
    </row>
    <row r="640" spans="1:27" x14ac:dyDescent="0.3">
      <c r="A640" t="s">
        <v>759</v>
      </c>
      <c r="B640" t="s">
        <v>43</v>
      </c>
      <c r="C640">
        <v>22</v>
      </c>
      <c r="D640" t="s">
        <v>54</v>
      </c>
      <c r="E640" t="s">
        <v>111</v>
      </c>
      <c r="F640" t="s">
        <v>31</v>
      </c>
      <c r="G640">
        <v>42592</v>
      </c>
      <c r="H640" s="1">
        <v>44795</v>
      </c>
      <c r="I640" t="s">
        <v>98</v>
      </c>
      <c r="J640" t="s">
        <v>91</v>
      </c>
      <c r="K640" t="s">
        <v>34</v>
      </c>
      <c r="L640">
        <v>7</v>
      </c>
      <c r="M640">
        <v>2</v>
      </c>
      <c r="N640">
        <v>1</v>
      </c>
      <c r="O640" t="s">
        <v>59</v>
      </c>
      <c r="P640" t="s">
        <v>36</v>
      </c>
      <c r="Q640">
        <v>186</v>
      </c>
      <c r="R640">
        <v>65</v>
      </c>
      <c r="S640">
        <v>19</v>
      </c>
      <c r="T640" t="s">
        <v>37</v>
      </c>
      <c r="U640" t="s">
        <v>36</v>
      </c>
      <c r="V640" t="s">
        <v>36</v>
      </c>
      <c r="W640" t="s">
        <v>60</v>
      </c>
      <c r="X640">
        <v>2022</v>
      </c>
      <c r="Y640" t="s">
        <v>128</v>
      </c>
      <c r="Z640" t="s">
        <v>104</v>
      </c>
      <c r="AA640" t="s">
        <v>41</v>
      </c>
    </row>
    <row r="641" spans="1:27" x14ac:dyDescent="0.3">
      <c r="A641" t="s">
        <v>760</v>
      </c>
      <c r="B641" t="s">
        <v>43</v>
      </c>
      <c r="C641">
        <v>22</v>
      </c>
      <c r="D641" t="s">
        <v>65</v>
      </c>
      <c r="E641" t="s">
        <v>66</v>
      </c>
      <c r="F641" t="s">
        <v>96</v>
      </c>
      <c r="G641">
        <v>109893</v>
      </c>
      <c r="H641" s="1">
        <v>45509</v>
      </c>
      <c r="I641" t="s">
        <v>57</v>
      </c>
      <c r="J641" t="s">
        <v>48</v>
      </c>
      <c r="K641" t="s">
        <v>34</v>
      </c>
      <c r="L641">
        <v>15</v>
      </c>
      <c r="M641">
        <v>2</v>
      </c>
      <c r="N641">
        <v>5</v>
      </c>
      <c r="O641" t="s">
        <v>59</v>
      </c>
      <c r="P641" t="s">
        <v>36</v>
      </c>
      <c r="Q641">
        <v>171</v>
      </c>
      <c r="R641">
        <v>76</v>
      </c>
      <c r="S641">
        <v>13</v>
      </c>
      <c r="T641" t="s">
        <v>37</v>
      </c>
      <c r="U641" t="s">
        <v>36</v>
      </c>
      <c r="V641" t="s">
        <v>36</v>
      </c>
      <c r="W641" t="s">
        <v>60</v>
      </c>
      <c r="X641">
        <v>2024</v>
      </c>
      <c r="Y641" t="s">
        <v>128</v>
      </c>
      <c r="Z641" t="s">
        <v>104</v>
      </c>
      <c r="AA641" t="s">
        <v>87</v>
      </c>
    </row>
    <row r="642" spans="1:27" x14ac:dyDescent="0.3">
      <c r="A642" t="s">
        <v>761</v>
      </c>
      <c r="B642" t="s">
        <v>43</v>
      </c>
      <c r="C642">
        <v>29</v>
      </c>
      <c r="D642" t="s">
        <v>81</v>
      </c>
      <c r="E642" t="s">
        <v>82</v>
      </c>
      <c r="F642" t="s">
        <v>46</v>
      </c>
      <c r="G642">
        <v>94589</v>
      </c>
      <c r="H642" s="1">
        <v>43587</v>
      </c>
      <c r="I642" t="s">
        <v>47</v>
      </c>
      <c r="J642" t="s">
        <v>99</v>
      </c>
      <c r="K642" t="s">
        <v>49</v>
      </c>
      <c r="L642">
        <v>12</v>
      </c>
      <c r="M642">
        <v>2</v>
      </c>
      <c r="N642">
        <v>5</v>
      </c>
      <c r="O642" t="s">
        <v>59</v>
      </c>
      <c r="P642" t="s">
        <v>36</v>
      </c>
      <c r="Q642">
        <v>171</v>
      </c>
      <c r="R642">
        <v>35</v>
      </c>
      <c r="S642">
        <v>14</v>
      </c>
      <c r="T642" t="s">
        <v>36</v>
      </c>
      <c r="U642" t="s">
        <v>36</v>
      </c>
      <c r="V642" t="s">
        <v>36</v>
      </c>
      <c r="W642" t="s">
        <v>60</v>
      </c>
      <c r="X642">
        <v>2019</v>
      </c>
      <c r="Y642" t="s">
        <v>74</v>
      </c>
      <c r="Z642" t="s">
        <v>75</v>
      </c>
      <c r="AA642" t="s">
        <v>87</v>
      </c>
    </row>
    <row r="643" spans="1:27" x14ac:dyDescent="0.3">
      <c r="A643" t="s">
        <v>762</v>
      </c>
      <c r="B643" t="s">
        <v>43</v>
      </c>
      <c r="C643">
        <v>43</v>
      </c>
      <c r="D643" t="s">
        <v>54</v>
      </c>
      <c r="E643" t="s">
        <v>153</v>
      </c>
      <c r="F643" t="s">
        <v>96</v>
      </c>
      <c r="G643">
        <v>118613</v>
      </c>
      <c r="H643" s="1">
        <v>43919</v>
      </c>
      <c r="I643" t="s">
        <v>47</v>
      </c>
      <c r="J643" t="s">
        <v>118</v>
      </c>
      <c r="K643" t="s">
        <v>49</v>
      </c>
      <c r="L643">
        <v>11</v>
      </c>
      <c r="M643">
        <v>5</v>
      </c>
      <c r="N643">
        <v>3</v>
      </c>
      <c r="O643" t="s">
        <v>68</v>
      </c>
      <c r="P643" t="s">
        <v>37</v>
      </c>
      <c r="Q643">
        <v>260</v>
      </c>
      <c r="R643">
        <v>58</v>
      </c>
      <c r="S643">
        <v>30</v>
      </c>
      <c r="T643" t="s">
        <v>36</v>
      </c>
      <c r="U643" t="s">
        <v>36</v>
      </c>
      <c r="V643" t="s">
        <v>36</v>
      </c>
      <c r="W643" t="s">
        <v>60</v>
      </c>
      <c r="X643">
        <v>2020</v>
      </c>
      <c r="Y643" t="s">
        <v>142</v>
      </c>
      <c r="Z643" t="s">
        <v>70</v>
      </c>
      <c r="AA643" t="s">
        <v>87</v>
      </c>
    </row>
    <row r="644" spans="1:27" x14ac:dyDescent="0.3">
      <c r="A644" t="s">
        <v>763</v>
      </c>
      <c r="B644" t="s">
        <v>43</v>
      </c>
      <c r="C644">
        <v>30</v>
      </c>
      <c r="D644" t="s">
        <v>65</v>
      </c>
      <c r="E644" t="s">
        <v>120</v>
      </c>
      <c r="F644" t="s">
        <v>46</v>
      </c>
      <c r="G644">
        <v>97919</v>
      </c>
      <c r="H644" s="1">
        <v>45647</v>
      </c>
      <c r="I644" t="s">
        <v>47</v>
      </c>
      <c r="J644" t="s">
        <v>73</v>
      </c>
      <c r="K644" t="s">
        <v>58</v>
      </c>
      <c r="L644">
        <v>13</v>
      </c>
      <c r="M644">
        <v>4</v>
      </c>
      <c r="N644">
        <v>2</v>
      </c>
      <c r="O644" t="s">
        <v>59</v>
      </c>
      <c r="P644" t="s">
        <v>36</v>
      </c>
      <c r="Q644">
        <v>213</v>
      </c>
      <c r="R644">
        <v>41</v>
      </c>
      <c r="S644">
        <v>2</v>
      </c>
      <c r="T644" t="s">
        <v>36</v>
      </c>
      <c r="U644" t="s">
        <v>36</v>
      </c>
      <c r="V644" t="s">
        <v>36</v>
      </c>
      <c r="W644" t="s">
        <v>60</v>
      </c>
      <c r="X644">
        <v>2024</v>
      </c>
      <c r="Y644" t="s">
        <v>116</v>
      </c>
      <c r="Z644" t="s">
        <v>75</v>
      </c>
      <c r="AA644" t="s">
        <v>87</v>
      </c>
    </row>
    <row r="645" spans="1:27" x14ac:dyDescent="0.3">
      <c r="A645" t="s">
        <v>764</v>
      </c>
      <c r="B645" t="s">
        <v>43</v>
      </c>
      <c r="C645">
        <v>21</v>
      </c>
      <c r="D645" t="s">
        <v>85</v>
      </c>
      <c r="E645" t="s">
        <v>86</v>
      </c>
      <c r="F645" t="s">
        <v>96</v>
      </c>
      <c r="G645">
        <v>144801</v>
      </c>
      <c r="H645" s="1">
        <v>45146</v>
      </c>
      <c r="I645" t="s">
        <v>98</v>
      </c>
      <c r="J645" t="s">
        <v>48</v>
      </c>
      <c r="K645" t="s">
        <v>34</v>
      </c>
      <c r="L645">
        <v>14</v>
      </c>
      <c r="M645">
        <v>2</v>
      </c>
      <c r="N645">
        <v>1</v>
      </c>
      <c r="O645" t="s">
        <v>59</v>
      </c>
      <c r="P645" t="s">
        <v>36</v>
      </c>
      <c r="Q645">
        <v>178</v>
      </c>
      <c r="R645">
        <v>7</v>
      </c>
      <c r="S645">
        <v>12</v>
      </c>
      <c r="T645" t="s">
        <v>36</v>
      </c>
      <c r="U645" t="s">
        <v>36</v>
      </c>
      <c r="V645" t="s">
        <v>36</v>
      </c>
      <c r="W645" t="s">
        <v>60</v>
      </c>
      <c r="X645">
        <v>2023</v>
      </c>
      <c r="Y645" t="s">
        <v>128</v>
      </c>
      <c r="Z645" t="s">
        <v>104</v>
      </c>
      <c r="AA645" t="s">
        <v>105</v>
      </c>
    </row>
    <row r="646" spans="1:27" x14ac:dyDescent="0.3">
      <c r="A646" t="s">
        <v>765</v>
      </c>
      <c r="B646" t="s">
        <v>28</v>
      </c>
      <c r="C646">
        <v>30</v>
      </c>
      <c r="D646" t="s">
        <v>89</v>
      </c>
      <c r="E646" t="s">
        <v>203</v>
      </c>
      <c r="F646" t="s">
        <v>46</v>
      </c>
      <c r="G646">
        <v>66488</v>
      </c>
      <c r="H646" s="1">
        <v>46145</v>
      </c>
      <c r="I646" t="s">
        <v>32</v>
      </c>
      <c r="J646" t="s">
        <v>101</v>
      </c>
      <c r="K646" t="s">
        <v>49</v>
      </c>
      <c r="L646">
        <v>14</v>
      </c>
      <c r="M646">
        <v>4</v>
      </c>
      <c r="N646">
        <v>5</v>
      </c>
      <c r="O646" t="s">
        <v>68</v>
      </c>
      <c r="P646" t="s">
        <v>36</v>
      </c>
      <c r="Q646">
        <v>260</v>
      </c>
      <c r="R646">
        <v>27</v>
      </c>
      <c r="S646">
        <v>17</v>
      </c>
      <c r="T646" t="s">
        <v>36</v>
      </c>
      <c r="U646" t="s">
        <v>36</v>
      </c>
      <c r="V646" t="s">
        <v>36</v>
      </c>
      <c r="W646" t="s">
        <v>60</v>
      </c>
      <c r="X646">
        <v>2026</v>
      </c>
      <c r="Y646" t="s">
        <v>74</v>
      </c>
      <c r="Z646" t="s">
        <v>75</v>
      </c>
      <c r="AA646" t="s">
        <v>52</v>
      </c>
    </row>
    <row r="647" spans="1:27" x14ac:dyDescent="0.3">
      <c r="A647" t="s">
        <v>766</v>
      </c>
      <c r="B647" t="s">
        <v>43</v>
      </c>
      <c r="C647">
        <v>30</v>
      </c>
      <c r="D647" t="s">
        <v>85</v>
      </c>
      <c r="E647" t="s">
        <v>151</v>
      </c>
      <c r="F647" t="s">
        <v>56</v>
      </c>
      <c r="G647">
        <v>29012</v>
      </c>
      <c r="H647" s="1">
        <v>45831</v>
      </c>
      <c r="I647" t="s">
        <v>32</v>
      </c>
      <c r="J647" t="s">
        <v>101</v>
      </c>
      <c r="K647" t="s">
        <v>34</v>
      </c>
      <c r="L647">
        <v>1</v>
      </c>
      <c r="M647">
        <v>4</v>
      </c>
      <c r="N647">
        <v>4</v>
      </c>
      <c r="O647" t="s">
        <v>35</v>
      </c>
      <c r="P647" t="s">
        <v>37</v>
      </c>
      <c r="Q647">
        <v>237</v>
      </c>
      <c r="R647">
        <v>47</v>
      </c>
      <c r="S647">
        <v>29</v>
      </c>
      <c r="T647" t="s">
        <v>37</v>
      </c>
      <c r="U647" t="s">
        <v>36</v>
      </c>
      <c r="V647" t="s">
        <v>36</v>
      </c>
      <c r="W647" t="s">
        <v>60</v>
      </c>
      <c r="X647">
        <v>2025</v>
      </c>
      <c r="Y647" t="s">
        <v>61</v>
      </c>
      <c r="Z647" t="s">
        <v>75</v>
      </c>
      <c r="AA647" t="s">
        <v>63</v>
      </c>
    </row>
    <row r="648" spans="1:27" x14ac:dyDescent="0.3">
      <c r="A648" t="s">
        <v>767</v>
      </c>
      <c r="B648" t="s">
        <v>43</v>
      </c>
      <c r="C648">
        <v>21</v>
      </c>
      <c r="D648" t="s">
        <v>54</v>
      </c>
      <c r="E648" t="s">
        <v>153</v>
      </c>
      <c r="F648" t="s">
        <v>56</v>
      </c>
      <c r="G648">
        <v>41315</v>
      </c>
      <c r="H648" s="1">
        <v>45044</v>
      </c>
      <c r="I648" t="s">
        <v>98</v>
      </c>
      <c r="J648" t="s">
        <v>99</v>
      </c>
      <c r="K648" t="s">
        <v>49</v>
      </c>
      <c r="L648">
        <v>3</v>
      </c>
      <c r="M648">
        <v>1</v>
      </c>
      <c r="N648">
        <v>4</v>
      </c>
      <c r="O648" t="s">
        <v>59</v>
      </c>
      <c r="P648" t="s">
        <v>36</v>
      </c>
      <c r="Q648">
        <v>241</v>
      </c>
      <c r="R648">
        <v>12</v>
      </c>
      <c r="S648">
        <v>11</v>
      </c>
      <c r="T648" t="s">
        <v>36</v>
      </c>
      <c r="U648" t="s">
        <v>37</v>
      </c>
      <c r="V648" t="s">
        <v>36</v>
      </c>
      <c r="W648" t="s">
        <v>60</v>
      </c>
      <c r="X648">
        <v>2023</v>
      </c>
      <c r="Y648" t="s">
        <v>69</v>
      </c>
      <c r="Z648" t="s">
        <v>104</v>
      </c>
      <c r="AA648" t="s">
        <v>41</v>
      </c>
    </row>
    <row r="649" spans="1:27" x14ac:dyDescent="0.3">
      <c r="A649" t="s">
        <v>768</v>
      </c>
      <c r="B649" t="s">
        <v>43</v>
      </c>
      <c r="C649">
        <v>31</v>
      </c>
      <c r="D649" t="s">
        <v>77</v>
      </c>
      <c r="E649" t="s">
        <v>133</v>
      </c>
      <c r="F649" t="s">
        <v>96</v>
      </c>
      <c r="G649">
        <v>106260</v>
      </c>
      <c r="H649" s="1">
        <v>44063</v>
      </c>
      <c r="I649" t="s">
        <v>107</v>
      </c>
      <c r="J649" t="s">
        <v>73</v>
      </c>
      <c r="K649" t="s">
        <v>58</v>
      </c>
      <c r="L649">
        <v>9</v>
      </c>
      <c r="M649">
        <v>3</v>
      </c>
      <c r="N649">
        <v>5</v>
      </c>
      <c r="O649" t="s">
        <v>59</v>
      </c>
      <c r="P649" t="s">
        <v>37</v>
      </c>
      <c r="Q649">
        <v>242</v>
      </c>
      <c r="R649">
        <v>31</v>
      </c>
      <c r="S649">
        <v>10</v>
      </c>
      <c r="T649" t="s">
        <v>37</v>
      </c>
      <c r="U649" t="s">
        <v>36</v>
      </c>
      <c r="V649" t="s">
        <v>36</v>
      </c>
      <c r="W649" t="s">
        <v>60</v>
      </c>
      <c r="X649">
        <v>2020</v>
      </c>
      <c r="Y649" t="s">
        <v>128</v>
      </c>
      <c r="Z649" t="s">
        <v>40</v>
      </c>
      <c r="AA649" t="s">
        <v>87</v>
      </c>
    </row>
    <row r="650" spans="1:27" x14ac:dyDescent="0.3">
      <c r="A650" t="s">
        <v>769</v>
      </c>
      <c r="B650" t="s">
        <v>28</v>
      </c>
      <c r="C650">
        <v>30</v>
      </c>
      <c r="D650" t="s">
        <v>89</v>
      </c>
      <c r="E650" t="s">
        <v>130</v>
      </c>
      <c r="F650" t="s">
        <v>31</v>
      </c>
      <c r="G650">
        <v>66804</v>
      </c>
      <c r="H650" s="1">
        <v>44868</v>
      </c>
      <c r="I650" t="s">
        <v>98</v>
      </c>
      <c r="J650" t="s">
        <v>67</v>
      </c>
      <c r="K650" t="s">
        <v>34</v>
      </c>
      <c r="L650">
        <v>4</v>
      </c>
      <c r="M650">
        <v>3</v>
      </c>
      <c r="N650">
        <v>4</v>
      </c>
      <c r="O650" t="s">
        <v>35</v>
      </c>
      <c r="P650" t="s">
        <v>36</v>
      </c>
      <c r="Q650">
        <v>250</v>
      </c>
      <c r="R650">
        <v>22</v>
      </c>
      <c r="S650">
        <v>6</v>
      </c>
      <c r="T650" t="s">
        <v>36</v>
      </c>
      <c r="U650" t="s">
        <v>36</v>
      </c>
      <c r="V650" t="s">
        <v>36</v>
      </c>
      <c r="W650" t="s">
        <v>60</v>
      </c>
      <c r="X650">
        <v>2022</v>
      </c>
      <c r="Y650" t="s">
        <v>123</v>
      </c>
      <c r="Z650" t="s">
        <v>75</v>
      </c>
      <c r="AA650" t="s">
        <v>52</v>
      </c>
    </row>
    <row r="651" spans="1:27" x14ac:dyDescent="0.3">
      <c r="A651" t="s">
        <v>770</v>
      </c>
      <c r="B651" t="s">
        <v>28</v>
      </c>
      <c r="C651">
        <v>36</v>
      </c>
      <c r="D651" t="s">
        <v>44</v>
      </c>
      <c r="E651" t="s">
        <v>109</v>
      </c>
      <c r="F651" t="s">
        <v>46</v>
      </c>
      <c r="G651">
        <v>84085</v>
      </c>
      <c r="H651" s="1">
        <v>44114</v>
      </c>
      <c r="I651" t="s">
        <v>32</v>
      </c>
      <c r="J651" t="s">
        <v>73</v>
      </c>
      <c r="K651" t="s">
        <v>58</v>
      </c>
      <c r="L651">
        <v>9</v>
      </c>
      <c r="M651">
        <v>5</v>
      </c>
      <c r="N651">
        <v>3</v>
      </c>
      <c r="O651" t="s">
        <v>50</v>
      </c>
      <c r="P651" t="s">
        <v>36</v>
      </c>
      <c r="Q651">
        <v>241</v>
      </c>
      <c r="R651">
        <v>54</v>
      </c>
      <c r="S651">
        <v>10</v>
      </c>
      <c r="T651" t="s">
        <v>36</v>
      </c>
      <c r="U651" t="s">
        <v>36</v>
      </c>
      <c r="V651" t="s">
        <v>36</v>
      </c>
      <c r="W651" t="s">
        <v>60</v>
      </c>
      <c r="X651">
        <v>2020</v>
      </c>
      <c r="Y651" t="s">
        <v>83</v>
      </c>
      <c r="Z651" t="s">
        <v>62</v>
      </c>
      <c r="AA651" t="s">
        <v>52</v>
      </c>
    </row>
    <row r="652" spans="1:27" x14ac:dyDescent="0.3">
      <c r="A652" t="s">
        <v>771</v>
      </c>
      <c r="B652" t="s">
        <v>28</v>
      </c>
      <c r="C652">
        <v>44</v>
      </c>
      <c r="D652" t="s">
        <v>44</v>
      </c>
      <c r="E652" t="s">
        <v>109</v>
      </c>
      <c r="F652" t="s">
        <v>31</v>
      </c>
      <c r="G652">
        <v>61144</v>
      </c>
      <c r="H652" s="1">
        <v>44528</v>
      </c>
      <c r="I652" t="s">
        <v>32</v>
      </c>
      <c r="J652" t="s">
        <v>91</v>
      </c>
      <c r="K652" t="s">
        <v>34</v>
      </c>
      <c r="L652">
        <v>2</v>
      </c>
      <c r="M652">
        <v>3</v>
      </c>
      <c r="N652">
        <v>5</v>
      </c>
      <c r="O652" t="s">
        <v>68</v>
      </c>
      <c r="P652" t="s">
        <v>36</v>
      </c>
      <c r="Q652">
        <v>216</v>
      </c>
      <c r="R652">
        <v>80</v>
      </c>
      <c r="S652">
        <v>29</v>
      </c>
      <c r="T652" t="s">
        <v>36</v>
      </c>
      <c r="U652" t="s">
        <v>36</v>
      </c>
      <c r="V652" t="s">
        <v>36</v>
      </c>
      <c r="W652" t="s">
        <v>60</v>
      </c>
      <c r="X652">
        <v>2021</v>
      </c>
      <c r="Y652" t="s">
        <v>123</v>
      </c>
      <c r="Z652" t="s">
        <v>70</v>
      </c>
      <c r="AA652" t="s">
        <v>52</v>
      </c>
    </row>
    <row r="653" spans="1:27" x14ac:dyDescent="0.3">
      <c r="A653" t="s">
        <v>772</v>
      </c>
      <c r="B653" t="s">
        <v>43</v>
      </c>
      <c r="C653">
        <v>39</v>
      </c>
      <c r="D653" t="s">
        <v>77</v>
      </c>
      <c r="E653" t="s">
        <v>133</v>
      </c>
      <c r="F653" t="s">
        <v>31</v>
      </c>
      <c r="G653">
        <v>59210</v>
      </c>
      <c r="H653" s="1">
        <v>44184</v>
      </c>
      <c r="I653" t="s">
        <v>107</v>
      </c>
      <c r="J653" t="s">
        <v>33</v>
      </c>
      <c r="K653" t="s">
        <v>58</v>
      </c>
      <c r="L653">
        <v>5</v>
      </c>
      <c r="M653">
        <v>4</v>
      </c>
      <c r="N653">
        <v>4</v>
      </c>
      <c r="O653" t="s">
        <v>68</v>
      </c>
      <c r="P653" t="s">
        <v>37</v>
      </c>
      <c r="Q653">
        <v>235</v>
      </c>
      <c r="R653">
        <v>40</v>
      </c>
      <c r="S653">
        <v>21</v>
      </c>
      <c r="T653" t="s">
        <v>36</v>
      </c>
      <c r="U653" t="s">
        <v>37</v>
      </c>
      <c r="V653" t="s">
        <v>36</v>
      </c>
      <c r="W653" t="s">
        <v>60</v>
      </c>
      <c r="X653">
        <v>2020</v>
      </c>
      <c r="Y653" t="s">
        <v>116</v>
      </c>
      <c r="Z653" t="s">
        <v>62</v>
      </c>
      <c r="AA653" t="s">
        <v>41</v>
      </c>
    </row>
    <row r="654" spans="1:27" x14ac:dyDescent="0.3">
      <c r="A654" t="s">
        <v>773</v>
      </c>
      <c r="B654" t="s">
        <v>28</v>
      </c>
      <c r="C654">
        <v>30</v>
      </c>
      <c r="D654" t="s">
        <v>65</v>
      </c>
      <c r="E654" t="s">
        <v>72</v>
      </c>
      <c r="F654" t="s">
        <v>96</v>
      </c>
      <c r="G654">
        <v>91599</v>
      </c>
      <c r="H654" s="1">
        <v>45612</v>
      </c>
      <c r="I654" t="s">
        <v>57</v>
      </c>
      <c r="J654" t="s">
        <v>91</v>
      </c>
      <c r="K654" t="s">
        <v>34</v>
      </c>
      <c r="L654">
        <v>19</v>
      </c>
      <c r="M654">
        <v>2</v>
      </c>
      <c r="N654">
        <v>2</v>
      </c>
      <c r="O654" t="s">
        <v>35</v>
      </c>
      <c r="P654" t="s">
        <v>36</v>
      </c>
      <c r="Q654">
        <v>235</v>
      </c>
      <c r="R654">
        <v>39</v>
      </c>
      <c r="S654">
        <v>19</v>
      </c>
      <c r="T654" t="s">
        <v>36</v>
      </c>
      <c r="U654" t="s">
        <v>37</v>
      </c>
      <c r="V654" t="s">
        <v>36</v>
      </c>
      <c r="W654" t="s">
        <v>60</v>
      </c>
      <c r="X654">
        <v>2024</v>
      </c>
      <c r="Y654" t="s">
        <v>123</v>
      </c>
      <c r="Z654" t="s">
        <v>75</v>
      </c>
      <c r="AA654" t="s">
        <v>87</v>
      </c>
    </row>
    <row r="655" spans="1:27" x14ac:dyDescent="0.3">
      <c r="A655" t="s">
        <v>774</v>
      </c>
      <c r="B655" t="s">
        <v>28</v>
      </c>
      <c r="C655">
        <v>24</v>
      </c>
      <c r="D655" t="s">
        <v>89</v>
      </c>
      <c r="E655" t="s">
        <v>90</v>
      </c>
      <c r="F655" t="s">
        <v>31</v>
      </c>
      <c r="G655">
        <v>50390</v>
      </c>
      <c r="H655" s="1">
        <v>44214</v>
      </c>
      <c r="I655" t="s">
        <v>98</v>
      </c>
      <c r="J655" t="s">
        <v>67</v>
      </c>
      <c r="K655" t="s">
        <v>34</v>
      </c>
      <c r="L655">
        <v>7</v>
      </c>
      <c r="M655">
        <v>2</v>
      </c>
      <c r="N655">
        <v>2</v>
      </c>
      <c r="O655" t="s">
        <v>50</v>
      </c>
      <c r="P655" t="s">
        <v>36</v>
      </c>
      <c r="Q655">
        <v>241</v>
      </c>
      <c r="R655">
        <v>16</v>
      </c>
      <c r="S655">
        <v>25</v>
      </c>
      <c r="T655" t="s">
        <v>37</v>
      </c>
      <c r="U655" t="s">
        <v>36</v>
      </c>
      <c r="V655" t="s">
        <v>37</v>
      </c>
      <c r="W655" t="s">
        <v>38</v>
      </c>
      <c r="X655">
        <v>2021</v>
      </c>
      <c r="Y655" t="s">
        <v>94</v>
      </c>
      <c r="Z655" t="s">
        <v>104</v>
      </c>
      <c r="AA655" t="s">
        <v>41</v>
      </c>
    </row>
    <row r="656" spans="1:27" x14ac:dyDescent="0.3">
      <c r="A656" t="s">
        <v>775</v>
      </c>
      <c r="B656" t="s">
        <v>28</v>
      </c>
      <c r="C656">
        <v>50</v>
      </c>
      <c r="D656" t="s">
        <v>85</v>
      </c>
      <c r="E656" t="s">
        <v>151</v>
      </c>
      <c r="F656" t="s">
        <v>56</v>
      </c>
      <c r="G656">
        <v>34806</v>
      </c>
      <c r="H656" s="1">
        <v>44465</v>
      </c>
      <c r="I656" t="s">
        <v>57</v>
      </c>
      <c r="J656" t="s">
        <v>91</v>
      </c>
      <c r="K656" t="s">
        <v>34</v>
      </c>
      <c r="L656">
        <v>1</v>
      </c>
      <c r="M656">
        <v>5</v>
      </c>
      <c r="N656">
        <v>5</v>
      </c>
      <c r="O656" t="s">
        <v>35</v>
      </c>
      <c r="P656" t="s">
        <v>36</v>
      </c>
      <c r="Q656">
        <v>209</v>
      </c>
      <c r="R656">
        <v>30</v>
      </c>
      <c r="S656">
        <v>17</v>
      </c>
      <c r="T656" t="s">
        <v>37</v>
      </c>
      <c r="U656" t="s">
        <v>37</v>
      </c>
      <c r="V656" t="s">
        <v>36</v>
      </c>
      <c r="W656" t="s">
        <v>126</v>
      </c>
      <c r="X656">
        <v>2021</v>
      </c>
      <c r="Y656" t="s">
        <v>51</v>
      </c>
      <c r="Z656" t="s">
        <v>70</v>
      </c>
      <c r="AA656" t="s">
        <v>63</v>
      </c>
    </row>
    <row r="657" spans="1:27" x14ac:dyDescent="0.3">
      <c r="A657" t="s">
        <v>776</v>
      </c>
      <c r="B657" t="s">
        <v>28</v>
      </c>
      <c r="C657">
        <v>32</v>
      </c>
      <c r="D657" t="s">
        <v>89</v>
      </c>
      <c r="E657" t="s">
        <v>90</v>
      </c>
      <c r="F657" t="s">
        <v>56</v>
      </c>
      <c r="G657">
        <v>35044</v>
      </c>
      <c r="H657" s="1">
        <v>44694</v>
      </c>
      <c r="I657" t="s">
        <v>47</v>
      </c>
      <c r="J657" t="s">
        <v>33</v>
      </c>
      <c r="K657" t="s">
        <v>34</v>
      </c>
      <c r="L657">
        <v>3</v>
      </c>
      <c r="M657">
        <v>5</v>
      </c>
      <c r="N657">
        <v>1</v>
      </c>
      <c r="O657" t="s">
        <v>59</v>
      </c>
      <c r="P657" t="s">
        <v>36</v>
      </c>
      <c r="Q657">
        <v>205</v>
      </c>
      <c r="R657">
        <v>5</v>
      </c>
      <c r="S657">
        <v>10</v>
      </c>
      <c r="T657" t="s">
        <v>36</v>
      </c>
      <c r="U657" t="s">
        <v>37</v>
      </c>
      <c r="V657" t="s">
        <v>36</v>
      </c>
      <c r="W657" t="s">
        <v>60</v>
      </c>
      <c r="X657">
        <v>2022</v>
      </c>
      <c r="Y657" t="s">
        <v>74</v>
      </c>
      <c r="Z657" t="s">
        <v>40</v>
      </c>
      <c r="AA657" t="s">
        <v>63</v>
      </c>
    </row>
    <row r="658" spans="1:27" x14ac:dyDescent="0.3">
      <c r="A658" t="s">
        <v>777</v>
      </c>
      <c r="B658" t="s">
        <v>43</v>
      </c>
      <c r="C658">
        <v>32</v>
      </c>
      <c r="D658" t="s">
        <v>85</v>
      </c>
      <c r="E658" t="s">
        <v>151</v>
      </c>
      <c r="F658" t="s">
        <v>96</v>
      </c>
      <c r="G658">
        <v>157397</v>
      </c>
      <c r="H658" s="1">
        <v>46109</v>
      </c>
      <c r="I658" t="s">
        <v>98</v>
      </c>
      <c r="J658" t="s">
        <v>67</v>
      </c>
      <c r="K658" t="s">
        <v>34</v>
      </c>
      <c r="L658">
        <v>12</v>
      </c>
      <c r="M658">
        <v>3</v>
      </c>
      <c r="N658">
        <v>3</v>
      </c>
      <c r="O658" t="s">
        <v>59</v>
      </c>
      <c r="P658" t="s">
        <v>36</v>
      </c>
      <c r="Q658">
        <v>181</v>
      </c>
      <c r="R658">
        <v>19</v>
      </c>
      <c r="S658">
        <v>26</v>
      </c>
      <c r="T658" t="s">
        <v>37</v>
      </c>
      <c r="U658" t="s">
        <v>36</v>
      </c>
      <c r="V658" t="s">
        <v>36</v>
      </c>
      <c r="W658" t="s">
        <v>126</v>
      </c>
      <c r="X658">
        <v>2026</v>
      </c>
      <c r="Y658" t="s">
        <v>142</v>
      </c>
      <c r="Z658" t="s">
        <v>40</v>
      </c>
      <c r="AA658" t="s">
        <v>105</v>
      </c>
    </row>
    <row r="659" spans="1:27" x14ac:dyDescent="0.3">
      <c r="A659" t="s">
        <v>778</v>
      </c>
      <c r="B659" t="s">
        <v>28</v>
      </c>
      <c r="C659">
        <v>31</v>
      </c>
      <c r="D659" t="s">
        <v>65</v>
      </c>
      <c r="E659" t="s">
        <v>72</v>
      </c>
      <c r="F659" t="s">
        <v>96</v>
      </c>
      <c r="G659">
        <v>111381</v>
      </c>
      <c r="H659" s="1">
        <v>43734</v>
      </c>
      <c r="I659" t="s">
        <v>98</v>
      </c>
      <c r="J659" t="s">
        <v>73</v>
      </c>
      <c r="K659" t="s">
        <v>58</v>
      </c>
      <c r="L659">
        <v>10</v>
      </c>
      <c r="M659">
        <v>4</v>
      </c>
      <c r="N659">
        <v>3</v>
      </c>
      <c r="O659" t="s">
        <v>35</v>
      </c>
      <c r="P659" t="s">
        <v>37</v>
      </c>
      <c r="Q659">
        <v>260</v>
      </c>
      <c r="R659">
        <v>34</v>
      </c>
      <c r="S659">
        <v>8</v>
      </c>
      <c r="T659" t="s">
        <v>36</v>
      </c>
      <c r="U659" t="s">
        <v>36</v>
      </c>
      <c r="V659" t="s">
        <v>36</v>
      </c>
      <c r="W659" t="s">
        <v>60</v>
      </c>
      <c r="X659">
        <v>2019</v>
      </c>
      <c r="Y659" t="s">
        <v>51</v>
      </c>
      <c r="Z659" t="s">
        <v>40</v>
      </c>
      <c r="AA659" t="s">
        <v>87</v>
      </c>
    </row>
    <row r="660" spans="1:27" x14ac:dyDescent="0.3">
      <c r="A660" t="s">
        <v>779</v>
      </c>
      <c r="B660" t="s">
        <v>43</v>
      </c>
      <c r="C660">
        <v>33</v>
      </c>
      <c r="D660" t="s">
        <v>89</v>
      </c>
      <c r="E660" t="s">
        <v>203</v>
      </c>
      <c r="F660" t="s">
        <v>46</v>
      </c>
      <c r="G660">
        <v>104945</v>
      </c>
      <c r="H660" s="1">
        <v>45804</v>
      </c>
      <c r="I660" t="s">
        <v>32</v>
      </c>
      <c r="J660" t="s">
        <v>73</v>
      </c>
      <c r="K660" t="s">
        <v>49</v>
      </c>
      <c r="L660">
        <v>8</v>
      </c>
      <c r="M660">
        <v>2</v>
      </c>
      <c r="N660">
        <v>3</v>
      </c>
      <c r="O660" t="s">
        <v>59</v>
      </c>
      <c r="P660" t="s">
        <v>37</v>
      </c>
      <c r="Q660">
        <v>174</v>
      </c>
      <c r="R660">
        <v>58</v>
      </c>
      <c r="S660">
        <v>26</v>
      </c>
      <c r="T660" t="s">
        <v>36</v>
      </c>
      <c r="U660" t="s">
        <v>36</v>
      </c>
      <c r="V660" t="s">
        <v>36</v>
      </c>
      <c r="W660" t="s">
        <v>60</v>
      </c>
      <c r="X660">
        <v>2025</v>
      </c>
      <c r="Y660" t="s">
        <v>74</v>
      </c>
      <c r="Z660" t="s">
        <v>40</v>
      </c>
      <c r="AA660" t="s">
        <v>87</v>
      </c>
    </row>
    <row r="661" spans="1:27" x14ac:dyDescent="0.3">
      <c r="A661" t="s">
        <v>780</v>
      </c>
      <c r="B661" t="s">
        <v>28</v>
      </c>
      <c r="C661">
        <v>30</v>
      </c>
      <c r="D661" t="s">
        <v>81</v>
      </c>
      <c r="E661" t="s">
        <v>165</v>
      </c>
      <c r="F661" t="s">
        <v>46</v>
      </c>
      <c r="G661">
        <v>89300</v>
      </c>
      <c r="H661" s="1">
        <v>44720</v>
      </c>
      <c r="I661" t="s">
        <v>98</v>
      </c>
      <c r="J661" t="s">
        <v>118</v>
      </c>
      <c r="K661" t="s">
        <v>49</v>
      </c>
      <c r="L661">
        <v>7</v>
      </c>
      <c r="M661">
        <v>3</v>
      </c>
      <c r="N661">
        <v>3</v>
      </c>
      <c r="O661" t="s">
        <v>35</v>
      </c>
      <c r="P661" t="s">
        <v>36</v>
      </c>
      <c r="Q661">
        <v>190</v>
      </c>
      <c r="R661">
        <v>56</v>
      </c>
      <c r="S661">
        <v>3</v>
      </c>
      <c r="T661" t="s">
        <v>36</v>
      </c>
      <c r="U661" t="s">
        <v>36</v>
      </c>
      <c r="V661" t="s">
        <v>36</v>
      </c>
      <c r="W661" t="s">
        <v>60</v>
      </c>
      <c r="X661">
        <v>2022</v>
      </c>
      <c r="Y661" t="s">
        <v>61</v>
      </c>
      <c r="Z661" t="s">
        <v>75</v>
      </c>
      <c r="AA661" t="s">
        <v>52</v>
      </c>
    </row>
    <row r="662" spans="1:27" x14ac:dyDescent="0.3">
      <c r="A662" t="s">
        <v>781</v>
      </c>
      <c r="B662" t="s">
        <v>28</v>
      </c>
      <c r="C662">
        <v>27</v>
      </c>
      <c r="D662" t="s">
        <v>89</v>
      </c>
      <c r="E662" t="s">
        <v>144</v>
      </c>
      <c r="F662" t="s">
        <v>56</v>
      </c>
      <c r="G662">
        <v>34626</v>
      </c>
      <c r="H662" s="1">
        <v>46177</v>
      </c>
      <c r="I662" t="s">
        <v>47</v>
      </c>
      <c r="J662" t="s">
        <v>91</v>
      </c>
      <c r="K662" t="s">
        <v>34</v>
      </c>
      <c r="L662">
        <v>1</v>
      </c>
      <c r="M662">
        <v>3</v>
      </c>
      <c r="N662">
        <v>3</v>
      </c>
      <c r="O662" t="s">
        <v>68</v>
      </c>
      <c r="P662" t="s">
        <v>36</v>
      </c>
      <c r="Q662">
        <v>153</v>
      </c>
      <c r="R662">
        <v>32</v>
      </c>
      <c r="S662">
        <v>21</v>
      </c>
      <c r="T662" t="s">
        <v>36</v>
      </c>
      <c r="U662" t="s">
        <v>36</v>
      </c>
      <c r="V662" t="s">
        <v>36</v>
      </c>
      <c r="W662" t="s">
        <v>126</v>
      </c>
      <c r="X662">
        <v>2026</v>
      </c>
      <c r="Y662" t="s">
        <v>61</v>
      </c>
      <c r="Z662" t="s">
        <v>75</v>
      </c>
      <c r="AA662" t="s">
        <v>63</v>
      </c>
    </row>
    <row r="663" spans="1:27" x14ac:dyDescent="0.3">
      <c r="A663" t="s">
        <v>782</v>
      </c>
      <c r="B663" t="s">
        <v>43</v>
      </c>
      <c r="C663">
        <v>28</v>
      </c>
      <c r="D663" t="s">
        <v>54</v>
      </c>
      <c r="E663" t="s">
        <v>153</v>
      </c>
      <c r="F663" t="s">
        <v>31</v>
      </c>
      <c r="G663">
        <v>47256</v>
      </c>
      <c r="H663" s="1">
        <v>45430</v>
      </c>
      <c r="I663" t="s">
        <v>47</v>
      </c>
      <c r="J663" t="s">
        <v>33</v>
      </c>
      <c r="K663" t="s">
        <v>49</v>
      </c>
      <c r="L663">
        <v>4</v>
      </c>
      <c r="M663">
        <v>5</v>
      </c>
      <c r="N663">
        <v>4</v>
      </c>
      <c r="O663" t="s">
        <v>59</v>
      </c>
      <c r="P663" t="s">
        <v>37</v>
      </c>
      <c r="Q663">
        <v>249</v>
      </c>
      <c r="R663">
        <v>12</v>
      </c>
      <c r="S663">
        <v>5</v>
      </c>
      <c r="T663" t="s">
        <v>37</v>
      </c>
      <c r="U663" t="s">
        <v>36</v>
      </c>
      <c r="V663" t="s">
        <v>36</v>
      </c>
      <c r="W663" t="s">
        <v>60</v>
      </c>
      <c r="X663">
        <v>2024</v>
      </c>
      <c r="Y663" t="s">
        <v>74</v>
      </c>
      <c r="Z663" t="s">
        <v>75</v>
      </c>
      <c r="AA663" t="s">
        <v>41</v>
      </c>
    </row>
    <row r="664" spans="1:27" x14ac:dyDescent="0.3">
      <c r="A664" t="s">
        <v>783</v>
      </c>
      <c r="B664" t="s">
        <v>43</v>
      </c>
      <c r="C664">
        <v>31</v>
      </c>
      <c r="D664" t="s">
        <v>65</v>
      </c>
      <c r="E664" t="s">
        <v>72</v>
      </c>
      <c r="F664" t="s">
        <v>46</v>
      </c>
      <c r="G664">
        <v>72276</v>
      </c>
      <c r="H664" s="1">
        <v>44016</v>
      </c>
      <c r="I664" t="s">
        <v>98</v>
      </c>
      <c r="J664" t="s">
        <v>67</v>
      </c>
      <c r="K664" t="s">
        <v>34</v>
      </c>
      <c r="L664">
        <v>12</v>
      </c>
      <c r="M664">
        <v>1</v>
      </c>
      <c r="N664">
        <v>3</v>
      </c>
      <c r="O664" t="s">
        <v>68</v>
      </c>
      <c r="P664" t="s">
        <v>36</v>
      </c>
      <c r="Q664">
        <v>202</v>
      </c>
      <c r="R664">
        <v>76</v>
      </c>
      <c r="S664">
        <v>4</v>
      </c>
      <c r="T664" t="s">
        <v>36</v>
      </c>
      <c r="U664" t="s">
        <v>36</v>
      </c>
      <c r="V664" t="s">
        <v>36</v>
      </c>
      <c r="W664" t="s">
        <v>60</v>
      </c>
      <c r="X664">
        <v>2020</v>
      </c>
      <c r="Y664" t="s">
        <v>79</v>
      </c>
      <c r="Z664" t="s">
        <v>40</v>
      </c>
      <c r="AA664" t="s">
        <v>52</v>
      </c>
    </row>
    <row r="665" spans="1:27" x14ac:dyDescent="0.3">
      <c r="A665" t="s">
        <v>784</v>
      </c>
      <c r="B665" t="s">
        <v>43</v>
      </c>
      <c r="C665">
        <v>28</v>
      </c>
      <c r="D665" t="s">
        <v>81</v>
      </c>
      <c r="E665" t="s">
        <v>82</v>
      </c>
      <c r="F665" t="s">
        <v>56</v>
      </c>
      <c r="G665">
        <v>32602</v>
      </c>
      <c r="H665" s="1">
        <v>44751</v>
      </c>
      <c r="I665" t="s">
        <v>32</v>
      </c>
      <c r="J665" t="s">
        <v>101</v>
      </c>
      <c r="K665" t="s">
        <v>49</v>
      </c>
      <c r="L665">
        <v>0</v>
      </c>
      <c r="M665">
        <v>3</v>
      </c>
      <c r="N665">
        <v>4</v>
      </c>
      <c r="O665" t="s">
        <v>50</v>
      </c>
      <c r="P665" t="s">
        <v>36</v>
      </c>
      <c r="Q665">
        <v>177</v>
      </c>
      <c r="R665">
        <v>30</v>
      </c>
      <c r="S665">
        <v>23</v>
      </c>
      <c r="T665" t="s">
        <v>36</v>
      </c>
      <c r="U665" t="s">
        <v>36</v>
      </c>
      <c r="V665" t="s">
        <v>36</v>
      </c>
      <c r="W665" t="s">
        <v>60</v>
      </c>
      <c r="X665">
        <v>2022</v>
      </c>
      <c r="Y665" t="s">
        <v>79</v>
      </c>
      <c r="Z665" t="s">
        <v>75</v>
      </c>
      <c r="AA665" t="s">
        <v>63</v>
      </c>
    </row>
    <row r="666" spans="1:27" x14ac:dyDescent="0.3">
      <c r="A666" t="s">
        <v>785</v>
      </c>
      <c r="B666" t="s">
        <v>43</v>
      </c>
      <c r="C666">
        <v>27</v>
      </c>
      <c r="D666" t="s">
        <v>29</v>
      </c>
      <c r="E666" t="s">
        <v>93</v>
      </c>
      <c r="F666" t="s">
        <v>56</v>
      </c>
      <c r="G666">
        <v>41460</v>
      </c>
      <c r="H666" s="1">
        <v>45089</v>
      </c>
      <c r="I666" t="s">
        <v>47</v>
      </c>
      <c r="J666" t="s">
        <v>99</v>
      </c>
      <c r="K666" t="s">
        <v>34</v>
      </c>
      <c r="L666">
        <v>3</v>
      </c>
      <c r="M666">
        <v>4</v>
      </c>
      <c r="N666">
        <v>1</v>
      </c>
      <c r="O666" t="s">
        <v>50</v>
      </c>
      <c r="P666" t="s">
        <v>36</v>
      </c>
      <c r="Q666">
        <v>157</v>
      </c>
      <c r="R666">
        <v>73</v>
      </c>
      <c r="S666">
        <v>17</v>
      </c>
      <c r="T666" t="s">
        <v>36</v>
      </c>
      <c r="U666" t="s">
        <v>36</v>
      </c>
      <c r="V666" t="s">
        <v>37</v>
      </c>
      <c r="W666" t="s">
        <v>38</v>
      </c>
      <c r="X666">
        <v>2023</v>
      </c>
      <c r="Y666" t="s">
        <v>61</v>
      </c>
      <c r="Z666" t="s">
        <v>75</v>
      </c>
      <c r="AA666" t="s">
        <v>41</v>
      </c>
    </row>
    <row r="667" spans="1:27" x14ac:dyDescent="0.3">
      <c r="A667" t="s">
        <v>786</v>
      </c>
      <c r="B667" t="s">
        <v>43</v>
      </c>
      <c r="C667">
        <v>32</v>
      </c>
      <c r="D667" t="s">
        <v>54</v>
      </c>
      <c r="E667" t="s">
        <v>153</v>
      </c>
      <c r="F667" t="s">
        <v>56</v>
      </c>
      <c r="G667">
        <v>31680</v>
      </c>
      <c r="H667" s="1">
        <v>45569</v>
      </c>
      <c r="I667" t="s">
        <v>47</v>
      </c>
      <c r="J667" t="s">
        <v>67</v>
      </c>
      <c r="K667" t="s">
        <v>49</v>
      </c>
      <c r="L667">
        <v>1</v>
      </c>
      <c r="M667">
        <v>1</v>
      </c>
      <c r="N667">
        <v>5</v>
      </c>
      <c r="O667" t="s">
        <v>59</v>
      </c>
      <c r="P667" t="s">
        <v>36</v>
      </c>
      <c r="Q667">
        <v>228</v>
      </c>
      <c r="R667">
        <v>24</v>
      </c>
      <c r="S667">
        <v>22</v>
      </c>
      <c r="T667" t="s">
        <v>36</v>
      </c>
      <c r="U667" t="s">
        <v>36</v>
      </c>
      <c r="V667" t="s">
        <v>36</v>
      </c>
      <c r="W667" t="s">
        <v>60</v>
      </c>
      <c r="X667">
        <v>2024</v>
      </c>
      <c r="Y667" t="s">
        <v>83</v>
      </c>
      <c r="Z667" t="s">
        <v>40</v>
      </c>
      <c r="AA667" t="s">
        <v>63</v>
      </c>
    </row>
    <row r="668" spans="1:27" x14ac:dyDescent="0.3">
      <c r="A668" t="s">
        <v>787</v>
      </c>
      <c r="B668" t="s">
        <v>28</v>
      </c>
      <c r="C668">
        <v>30</v>
      </c>
      <c r="D668" t="s">
        <v>65</v>
      </c>
      <c r="E668" t="s">
        <v>72</v>
      </c>
      <c r="F668" t="s">
        <v>96</v>
      </c>
      <c r="G668">
        <v>92815</v>
      </c>
      <c r="H668" s="1">
        <v>45820</v>
      </c>
      <c r="I668" t="s">
        <v>32</v>
      </c>
      <c r="J668" t="s">
        <v>91</v>
      </c>
      <c r="K668" t="s">
        <v>49</v>
      </c>
      <c r="L668">
        <v>14</v>
      </c>
      <c r="M668">
        <v>3</v>
      </c>
      <c r="N668">
        <v>1</v>
      </c>
      <c r="O668" t="s">
        <v>68</v>
      </c>
      <c r="P668" t="s">
        <v>36</v>
      </c>
      <c r="Q668">
        <v>256</v>
      </c>
      <c r="R668">
        <v>38</v>
      </c>
      <c r="S668">
        <v>29</v>
      </c>
      <c r="T668" t="s">
        <v>37</v>
      </c>
      <c r="U668" t="s">
        <v>36</v>
      </c>
      <c r="V668" t="s">
        <v>37</v>
      </c>
      <c r="W668" t="s">
        <v>38</v>
      </c>
      <c r="X668">
        <v>2025</v>
      </c>
      <c r="Y668" t="s">
        <v>61</v>
      </c>
      <c r="Z668" t="s">
        <v>75</v>
      </c>
      <c r="AA668" t="s">
        <v>87</v>
      </c>
    </row>
    <row r="669" spans="1:27" x14ac:dyDescent="0.3">
      <c r="A669" t="s">
        <v>788</v>
      </c>
      <c r="B669" t="s">
        <v>43</v>
      </c>
      <c r="C669">
        <v>42</v>
      </c>
      <c r="D669" t="s">
        <v>89</v>
      </c>
      <c r="E669" t="s">
        <v>90</v>
      </c>
      <c r="F669" t="s">
        <v>46</v>
      </c>
      <c r="G669">
        <v>102804</v>
      </c>
      <c r="H669" s="1">
        <v>44239</v>
      </c>
      <c r="I669" t="s">
        <v>98</v>
      </c>
      <c r="J669" t="s">
        <v>99</v>
      </c>
      <c r="K669" t="s">
        <v>58</v>
      </c>
      <c r="L669">
        <v>7</v>
      </c>
      <c r="M669">
        <v>2</v>
      </c>
      <c r="N669">
        <v>2</v>
      </c>
      <c r="O669" t="s">
        <v>50</v>
      </c>
      <c r="P669" t="s">
        <v>36</v>
      </c>
      <c r="Q669">
        <v>173</v>
      </c>
      <c r="R669">
        <v>13</v>
      </c>
      <c r="S669">
        <v>12</v>
      </c>
      <c r="T669" t="s">
        <v>36</v>
      </c>
      <c r="U669" t="s">
        <v>37</v>
      </c>
      <c r="V669" t="s">
        <v>37</v>
      </c>
      <c r="W669" t="s">
        <v>38</v>
      </c>
      <c r="X669">
        <v>2021</v>
      </c>
      <c r="Y669" t="s">
        <v>39</v>
      </c>
      <c r="Z669" t="s">
        <v>70</v>
      </c>
      <c r="AA669" t="s">
        <v>87</v>
      </c>
    </row>
    <row r="670" spans="1:27" x14ac:dyDescent="0.3">
      <c r="A670" t="s">
        <v>789</v>
      </c>
      <c r="B670" t="s">
        <v>28</v>
      </c>
      <c r="C670">
        <v>21</v>
      </c>
      <c r="D670" t="s">
        <v>44</v>
      </c>
      <c r="E670" t="s">
        <v>115</v>
      </c>
      <c r="F670" t="s">
        <v>46</v>
      </c>
      <c r="G670">
        <v>75701</v>
      </c>
      <c r="H670" s="1">
        <v>44576</v>
      </c>
      <c r="I670" t="s">
        <v>47</v>
      </c>
      <c r="J670" t="s">
        <v>48</v>
      </c>
      <c r="K670" t="s">
        <v>49</v>
      </c>
      <c r="L670">
        <v>11</v>
      </c>
      <c r="M670">
        <v>2</v>
      </c>
      <c r="N670">
        <v>2</v>
      </c>
      <c r="O670" t="s">
        <v>35</v>
      </c>
      <c r="P670" t="s">
        <v>36</v>
      </c>
      <c r="Q670">
        <v>153</v>
      </c>
      <c r="R670">
        <v>61</v>
      </c>
      <c r="S670">
        <v>29</v>
      </c>
      <c r="T670" t="s">
        <v>36</v>
      </c>
      <c r="U670" t="s">
        <v>36</v>
      </c>
      <c r="V670" t="s">
        <v>36</v>
      </c>
      <c r="W670" t="s">
        <v>60</v>
      </c>
      <c r="X670">
        <v>2022</v>
      </c>
      <c r="Y670" t="s">
        <v>94</v>
      </c>
      <c r="Z670" t="s">
        <v>104</v>
      </c>
      <c r="AA670" t="s">
        <v>52</v>
      </c>
    </row>
    <row r="671" spans="1:27" x14ac:dyDescent="0.3">
      <c r="A671" t="s">
        <v>790</v>
      </c>
      <c r="B671" t="s">
        <v>43</v>
      </c>
      <c r="C671">
        <v>39</v>
      </c>
      <c r="D671" t="s">
        <v>29</v>
      </c>
      <c r="E671" t="s">
        <v>122</v>
      </c>
      <c r="F671" t="s">
        <v>96</v>
      </c>
      <c r="G671">
        <v>142321</v>
      </c>
      <c r="H671" s="1">
        <v>44308</v>
      </c>
      <c r="I671" t="s">
        <v>98</v>
      </c>
      <c r="J671" t="s">
        <v>48</v>
      </c>
      <c r="K671" t="s">
        <v>58</v>
      </c>
      <c r="L671">
        <v>11</v>
      </c>
      <c r="M671">
        <v>4</v>
      </c>
      <c r="N671">
        <v>5</v>
      </c>
      <c r="O671" t="s">
        <v>68</v>
      </c>
      <c r="P671" t="s">
        <v>37</v>
      </c>
      <c r="Q671">
        <v>161</v>
      </c>
      <c r="R671">
        <v>20</v>
      </c>
      <c r="S671">
        <v>17</v>
      </c>
      <c r="T671" t="s">
        <v>36</v>
      </c>
      <c r="U671" t="s">
        <v>36</v>
      </c>
      <c r="V671" t="s">
        <v>36</v>
      </c>
      <c r="W671" t="s">
        <v>60</v>
      </c>
      <c r="X671">
        <v>2021</v>
      </c>
      <c r="Y671" t="s">
        <v>69</v>
      </c>
      <c r="Z671" t="s">
        <v>62</v>
      </c>
      <c r="AA671" t="s">
        <v>105</v>
      </c>
    </row>
    <row r="672" spans="1:27" x14ac:dyDescent="0.3">
      <c r="A672" t="s">
        <v>791</v>
      </c>
      <c r="B672" t="s">
        <v>43</v>
      </c>
      <c r="C672">
        <v>40</v>
      </c>
      <c r="D672" t="s">
        <v>77</v>
      </c>
      <c r="E672" t="s">
        <v>138</v>
      </c>
      <c r="F672" t="s">
        <v>31</v>
      </c>
      <c r="G672">
        <v>44975</v>
      </c>
      <c r="H672" s="1">
        <v>44939</v>
      </c>
      <c r="I672" t="s">
        <v>47</v>
      </c>
      <c r="J672" t="s">
        <v>118</v>
      </c>
      <c r="K672" t="s">
        <v>49</v>
      </c>
      <c r="L672">
        <v>6</v>
      </c>
      <c r="M672">
        <v>4</v>
      </c>
      <c r="N672">
        <v>3</v>
      </c>
      <c r="O672" t="s">
        <v>35</v>
      </c>
      <c r="P672" t="s">
        <v>36</v>
      </c>
      <c r="Q672">
        <v>164</v>
      </c>
      <c r="R672">
        <v>50</v>
      </c>
      <c r="S672">
        <v>13</v>
      </c>
      <c r="T672" t="s">
        <v>36</v>
      </c>
      <c r="U672" t="s">
        <v>36</v>
      </c>
      <c r="V672" t="s">
        <v>37</v>
      </c>
      <c r="W672" t="s">
        <v>38</v>
      </c>
      <c r="X672">
        <v>2023</v>
      </c>
      <c r="Y672" t="s">
        <v>94</v>
      </c>
      <c r="Z672" t="s">
        <v>62</v>
      </c>
      <c r="AA672" t="s">
        <v>41</v>
      </c>
    </row>
    <row r="673" spans="1:27" x14ac:dyDescent="0.3">
      <c r="A673" t="s">
        <v>792</v>
      </c>
      <c r="B673" t="s">
        <v>28</v>
      </c>
      <c r="C673">
        <v>21</v>
      </c>
      <c r="D673" t="s">
        <v>77</v>
      </c>
      <c r="E673" t="s">
        <v>78</v>
      </c>
      <c r="F673" t="s">
        <v>31</v>
      </c>
      <c r="G673">
        <v>64977</v>
      </c>
      <c r="H673" s="1">
        <v>46130</v>
      </c>
      <c r="I673" t="s">
        <v>32</v>
      </c>
      <c r="J673" t="s">
        <v>73</v>
      </c>
      <c r="K673" t="s">
        <v>34</v>
      </c>
      <c r="L673">
        <v>2</v>
      </c>
      <c r="M673">
        <v>4</v>
      </c>
      <c r="N673">
        <v>4</v>
      </c>
      <c r="O673" t="s">
        <v>35</v>
      </c>
      <c r="P673" t="s">
        <v>37</v>
      </c>
      <c r="Q673">
        <v>185</v>
      </c>
      <c r="R673">
        <v>21</v>
      </c>
      <c r="S673">
        <v>18</v>
      </c>
      <c r="T673" t="s">
        <v>37</v>
      </c>
      <c r="U673" t="s">
        <v>36</v>
      </c>
      <c r="V673" t="s">
        <v>37</v>
      </c>
      <c r="W673" t="s">
        <v>38</v>
      </c>
      <c r="X673">
        <v>2026</v>
      </c>
      <c r="Y673" t="s">
        <v>69</v>
      </c>
      <c r="Z673" t="s">
        <v>104</v>
      </c>
      <c r="AA673" t="s">
        <v>52</v>
      </c>
    </row>
    <row r="674" spans="1:27" x14ac:dyDescent="0.3">
      <c r="A674" t="s">
        <v>793</v>
      </c>
      <c r="B674" t="s">
        <v>28</v>
      </c>
      <c r="C674">
        <v>29</v>
      </c>
      <c r="D674" t="s">
        <v>89</v>
      </c>
      <c r="E674" t="s">
        <v>203</v>
      </c>
      <c r="F674" t="s">
        <v>56</v>
      </c>
      <c r="G674">
        <v>34875</v>
      </c>
      <c r="H674" s="1">
        <v>44988</v>
      </c>
      <c r="I674" t="s">
        <v>98</v>
      </c>
      <c r="J674" t="s">
        <v>73</v>
      </c>
      <c r="K674" t="s">
        <v>34</v>
      </c>
      <c r="L674">
        <v>2</v>
      </c>
      <c r="M674">
        <v>5</v>
      </c>
      <c r="N674">
        <v>4</v>
      </c>
      <c r="O674" t="s">
        <v>68</v>
      </c>
      <c r="P674" t="s">
        <v>37</v>
      </c>
      <c r="Q674">
        <v>203</v>
      </c>
      <c r="R674">
        <v>51</v>
      </c>
      <c r="S674">
        <v>30</v>
      </c>
      <c r="T674" t="s">
        <v>37</v>
      </c>
      <c r="U674" t="s">
        <v>36</v>
      </c>
      <c r="V674" t="s">
        <v>36</v>
      </c>
      <c r="W674" t="s">
        <v>60</v>
      </c>
      <c r="X674">
        <v>2023</v>
      </c>
      <c r="Y674" t="s">
        <v>142</v>
      </c>
      <c r="Z674" t="s">
        <v>75</v>
      </c>
      <c r="AA674" t="s">
        <v>63</v>
      </c>
    </row>
    <row r="675" spans="1:27" x14ac:dyDescent="0.3">
      <c r="A675" t="s">
        <v>794</v>
      </c>
      <c r="B675" t="s">
        <v>28</v>
      </c>
      <c r="C675">
        <v>29</v>
      </c>
      <c r="D675" t="s">
        <v>89</v>
      </c>
      <c r="E675" t="s">
        <v>90</v>
      </c>
      <c r="F675" t="s">
        <v>46</v>
      </c>
      <c r="G675">
        <v>91453</v>
      </c>
      <c r="H675" s="1">
        <v>44552</v>
      </c>
      <c r="I675" t="s">
        <v>47</v>
      </c>
      <c r="J675" t="s">
        <v>99</v>
      </c>
      <c r="K675" t="s">
        <v>34</v>
      </c>
      <c r="L675">
        <v>10</v>
      </c>
      <c r="M675">
        <v>5</v>
      </c>
      <c r="N675">
        <v>3</v>
      </c>
      <c r="O675" t="s">
        <v>68</v>
      </c>
      <c r="P675" t="s">
        <v>37</v>
      </c>
      <c r="Q675">
        <v>250</v>
      </c>
      <c r="R675">
        <v>57</v>
      </c>
      <c r="S675">
        <v>3</v>
      </c>
      <c r="T675" t="s">
        <v>36</v>
      </c>
      <c r="U675" t="s">
        <v>37</v>
      </c>
      <c r="V675" t="s">
        <v>36</v>
      </c>
      <c r="W675" t="s">
        <v>126</v>
      </c>
      <c r="X675">
        <v>2021</v>
      </c>
      <c r="Y675" t="s">
        <v>116</v>
      </c>
      <c r="Z675" t="s">
        <v>75</v>
      </c>
      <c r="AA675" t="s">
        <v>87</v>
      </c>
    </row>
    <row r="676" spans="1:27" x14ac:dyDescent="0.3">
      <c r="A676" t="s">
        <v>795</v>
      </c>
      <c r="B676" t="s">
        <v>28</v>
      </c>
      <c r="C676">
        <v>22</v>
      </c>
      <c r="D676" t="s">
        <v>85</v>
      </c>
      <c r="E676" t="s">
        <v>86</v>
      </c>
      <c r="F676" t="s">
        <v>56</v>
      </c>
      <c r="G676">
        <v>39425</v>
      </c>
      <c r="H676" s="1">
        <v>43843</v>
      </c>
      <c r="I676" t="s">
        <v>98</v>
      </c>
      <c r="J676" t="s">
        <v>101</v>
      </c>
      <c r="K676" t="s">
        <v>58</v>
      </c>
      <c r="L676">
        <v>1</v>
      </c>
      <c r="M676">
        <v>4</v>
      </c>
      <c r="N676">
        <v>1</v>
      </c>
      <c r="O676" t="s">
        <v>35</v>
      </c>
      <c r="P676" t="s">
        <v>37</v>
      </c>
      <c r="Q676">
        <v>210</v>
      </c>
      <c r="R676">
        <v>44</v>
      </c>
      <c r="S676">
        <v>17</v>
      </c>
      <c r="T676" t="s">
        <v>36</v>
      </c>
      <c r="U676" t="s">
        <v>36</v>
      </c>
      <c r="V676" t="s">
        <v>36</v>
      </c>
      <c r="W676" t="s">
        <v>60</v>
      </c>
      <c r="X676">
        <v>2020</v>
      </c>
      <c r="Y676" t="s">
        <v>94</v>
      </c>
      <c r="Z676" t="s">
        <v>104</v>
      </c>
      <c r="AA676" t="s">
        <v>63</v>
      </c>
    </row>
    <row r="677" spans="1:27" x14ac:dyDescent="0.3">
      <c r="A677" t="s">
        <v>796</v>
      </c>
      <c r="B677" t="s">
        <v>28</v>
      </c>
      <c r="C677">
        <v>26</v>
      </c>
      <c r="D677" t="s">
        <v>65</v>
      </c>
      <c r="E677" t="s">
        <v>66</v>
      </c>
      <c r="F677" t="s">
        <v>56</v>
      </c>
      <c r="G677">
        <v>43656</v>
      </c>
      <c r="H677" s="1">
        <v>45805</v>
      </c>
      <c r="I677" t="s">
        <v>32</v>
      </c>
      <c r="J677" t="s">
        <v>33</v>
      </c>
      <c r="K677" t="s">
        <v>34</v>
      </c>
      <c r="L677">
        <v>3</v>
      </c>
      <c r="M677">
        <v>2</v>
      </c>
      <c r="N677">
        <v>2</v>
      </c>
      <c r="O677" t="s">
        <v>35</v>
      </c>
      <c r="P677" t="s">
        <v>37</v>
      </c>
      <c r="Q677">
        <v>215</v>
      </c>
      <c r="R677">
        <v>17</v>
      </c>
      <c r="S677">
        <v>24</v>
      </c>
      <c r="T677" t="s">
        <v>36</v>
      </c>
      <c r="U677" t="s">
        <v>36</v>
      </c>
      <c r="V677" t="s">
        <v>36</v>
      </c>
      <c r="W677" t="s">
        <v>60</v>
      </c>
      <c r="X677">
        <v>2025</v>
      </c>
      <c r="Y677" t="s">
        <v>74</v>
      </c>
      <c r="Z677" t="s">
        <v>75</v>
      </c>
      <c r="AA677" t="s">
        <v>41</v>
      </c>
    </row>
    <row r="678" spans="1:27" x14ac:dyDescent="0.3">
      <c r="A678" t="s">
        <v>797</v>
      </c>
      <c r="B678" t="s">
        <v>28</v>
      </c>
      <c r="C678">
        <v>24</v>
      </c>
      <c r="D678" t="s">
        <v>44</v>
      </c>
      <c r="E678" t="s">
        <v>115</v>
      </c>
      <c r="F678" t="s">
        <v>46</v>
      </c>
      <c r="G678">
        <v>77099</v>
      </c>
      <c r="H678" s="1">
        <v>44812</v>
      </c>
      <c r="I678" t="s">
        <v>32</v>
      </c>
      <c r="J678" t="s">
        <v>91</v>
      </c>
      <c r="K678" t="s">
        <v>49</v>
      </c>
      <c r="L678">
        <v>9</v>
      </c>
      <c r="M678">
        <v>4</v>
      </c>
      <c r="N678">
        <v>5</v>
      </c>
      <c r="O678" t="s">
        <v>50</v>
      </c>
      <c r="P678" t="s">
        <v>36</v>
      </c>
      <c r="Q678">
        <v>216</v>
      </c>
      <c r="R678">
        <v>23</v>
      </c>
      <c r="S678">
        <v>20</v>
      </c>
      <c r="T678" t="s">
        <v>36</v>
      </c>
      <c r="U678" t="s">
        <v>36</v>
      </c>
      <c r="V678" t="s">
        <v>36</v>
      </c>
      <c r="W678" t="s">
        <v>60</v>
      </c>
      <c r="X678">
        <v>2022</v>
      </c>
      <c r="Y678" t="s">
        <v>51</v>
      </c>
      <c r="Z678" t="s">
        <v>104</v>
      </c>
      <c r="AA678" t="s">
        <v>52</v>
      </c>
    </row>
    <row r="679" spans="1:27" x14ac:dyDescent="0.3">
      <c r="A679" t="s">
        <v>798</v>
      </c>
      <c r="B679" t="s">
        <v>43</v>
      </c>
      <c r="C679">
        <v>44</v>
      </c>
      <c r="D679" t="s">
        <v>29</v>
      </c>
      <c r="E679" t="s">
        <v>93</v>
      </c>
      <c r="F679" t="s">
        <v>31</v>
      </c>
      <c r="G679">
        <v>42469</v>
      </c>
      <c r="H679" s="1">
        <v>46065</v>
      </c>
      <c r="I679" t="s">
        <v>47</v>
      </c>
      <c r="J679" t="s">
        <v>101</v>
      </c>
      <c r="K679" t="s">
        <v>49</v>
      </c>
      <c r="L679">
        <v>3</v>
      </c>
      <c r="M679">
        <v>1</v>
      </c>
      <c r="N679">
        <v>2</v>
      </c>
      <c r="O679" t="s">
        <v>68</v>
      </c>
      <c r="P679" t="s">
        <v>37</v>
      </c>
      <c r="Q679">
        <v>200</v>
      </c>
      <c r="R679">
        <v>78</v>
      </c>
      <c r="S679">
        <v>14</v>
      </c>
      <c r="T679" t="s">
        <v>36</v>
      </c>
      <c r="U679" t="s">
        <v>36</v>
      </c>
      <c r="V679" t="s">
        <v>37</v>
      </c>
      <c r="W679" t="s">
        <v>38</v>
      </c>
      <c r="X679">
        <v>2026</v>
      </c>
      <c r="Y679" t="s">
        <v>39</v>
      </c>
      <c r="Z679" t="s">
        <v>70</v>
      </c>
      <c r="AA679" t="s">
        <v>41</v>
      </c>
    </row>
    <row r="680" spans="1:27" x14ac:dyDescent="0.3">
      <c r="A680" t="s">
        <v>799</v>
      </c>
      <c r="B680" t="s">
        <v>28</v>
      </c>
      <c r="C680">
        <v>38</v>
      </c>
      <c r="D680" t="s">
        <v>89</v>
      </c>
      <c r="E680" t="s">
        <v>144</v>
      </c>
      <c r="F680" t="s">
        <v>96</v>
      </c>
      <c r="G680">
        <v>105442</v>
      </c>
      <c r="H680" s="1">
        <v>44610</v>
      </c>
      <c r="I680" t="s">
        <v>47</v>
      </c>
      <c r="J680" t="s">
        <v>101</v>
      </c>
      <c r="K680" t="s">
        <v>34</v>
      </c>
      <c r="L680">
        <v>19</v>
      </c>
      <c r="M680">
        <v>5</v>
      </c>
      <c r="N680">
        <v>3</v>
      </c>
      <c r="O680" t="s">
        <v>35</v>
      </c>
      <c r="P680" t="s">
        <v>36</v>
      </c>
      <c r="Q680">
        <v>173</v>
      </c>
      <c r="R680">
        <v>48</v>
      </c>
      <c r="S680">
        <v>26</v>
      </c>
      <c r="T680" t="s">
        <v>36</v>
      </c>
      <c r="U680" t="s">
        <v>36</v>
      </c>
      <c r="V680" t="s">
        <v>36</v>
      </c>
      <c r="W680" t="s">
        <v>60</v>
      </c>
      <c r="X680">
        <v>2022</v>
      </c>
      <c r="Y680" t="s">
        <v>39</v>
      </c>
      <c r="Z680" t="s">
        <v>62</v>
      </c>
      <c r="AA680" t="s">
        <v>87</v>
      </c>
    </row>
    <row r="681" spans="1:27" x14ac:dyDescent="0.3">
      <c r="A681" t="s">
        <v>800</v>
      </c>
      <c r="B681" t="s">
        <v>28</v>
      </c>
      <c r="C681">
        <v>40</v>
      </c>
      <c r="D681" t="s">
        <v>65</v>
      </c>
      <c r="E681" t="s">
        <v>72</v>
      </c>
      <c r="F681" t="s">
        <v>56</v>
      </c>
      <c r="G681">
        <v>32136</v>
      </c>
      <c r="H681" s="1">
        <v>44396</v>
      </c>
      <c r="I681" t="s">
        <v>107</v>
      </c>
      <c r="J681" t="s">
        <v>67</v>
      </c>
      <c r="K681" t="s">
        <v>49</v>
      </c>
      <c r="L681">
        <v>0</v>
      </c>
      <c r="M681">
        <v>4</v>
      </c>
      <c r="N681">
        <v>1</v>
      </c>
      <c r="O681" t="s">
        <v>59</v>
      </c>
      <c r="P681" t="s">
        <v>37</v>
      </c>
      <c r="Q681">
        <v>220</v>
      </c>
      <c r="R681">
        <v>75</v>
      </c>
      <c r="S681">
        <v>4</v>
      </c>
      <c r="T681" t="s">
        <v>36</v>
      </c>
      <c r="U681" t="s">
        <v>36</v>
      </c>
      <c r="V681" t="s">
        <v>37</v>
      </c>
      <c r="W681" t="s">
        <v>38</v>
      </c>
      <c r="X681">
        <v>2021</v>
      </c>
      <c r="Y681" t="s">
        <v>79</v>
      </c>
      <c r="Z681" t="s">
        <v>62</v>
      </c>
      <c r="AA681" t="s">
        <v>63</v>
      </c>
    </row>
    <row r="682" spans="1:27" x14ac:dyDescent="0.3">
      <c r="A682" t="s">
        <v>801</v>
      </c>
      <c r="B682" t="s">
        <v>28</v>
      </c>
      <c r="C682">
        <v>37</v>
      </c>
      <c r="D682" t="s">
        <v>77</v>
      </c>
      <c r="E682" t="s">
        <v>138</v>
      </c>
      <c r="F682" t="s">
        <v>31</v>
      </c>
      <c r="G682">
        <v>69525</v>
      </c>
      <c r="H682" s="1">
        <v>44374</v>
      </c>
      <c r="I682" t="s">
        <v>32</v>
      </c>
      <c r="J682" t="s">
        <v>99</v>
      </c>
      <c r="K682" t="s">
        <v>34</v>
      </c>
      <c r="L682">
        <v>7</v>
      </c>
      <c r="M682">
        <v>1</v>
      </c>
      <c r="N682">
        <v>2</v>
      </c>
      <c r="O682" t="s">
        <v>50</v>
      </c>
      <c r="P682" t="s">
        <v>36</v>
      </c>
      <c r="Q682">
        <v>245</v>
      </c>
      <c r="R682">
        <v>74</v>
      </c>
      <c r="S682">
        <v>9</v>
      </c>
      <c r="T682" t="s">
        <v>36</v>
      </c>
      <c r="U682" t="s">
        <v>36</v>
      </c>
      <c r="V682" t="s">
        <v>36</v>
      </c>
      <c r="W682" t="s">
        <v>60</v>
      </c>
      <c r="X682">
        <v>2021</v>
      </c>
      <c r="Y682" t="s">
        <v>61</v>
      </c>
      <c r="Z682" t="s">
        <v>62</v>
      </c>
      <c r="AA682" t="s">
        <v>52</v>
      </c>
    </row>
    <row r="683" spans="1:27" x14ac:dyDescent="0.3">
      <c r="A683" t="s">
        <v>802</v>
      </c>
      <c r="B683" t="s">
        <v>43</v>
      </c>
      <c r="C683">
        <v>24</v>
      </c>
      <c r="D683" t="s">
        <v>85</v>
      </c>
      <c r="E683" t="s">
        <v>86</v>
      </c>
      <c r="F683" t="s">
        <v>31</v>
      </c>
      <c r="G683">
        <v>62804</v>
      </c>
      <c r="H683" s="1">
        <v>45998</v>
      </c>
      <c r="I683" t="s">
        <v>107</v>
      </c>
      <c r="J683" t="s">
        <v>99</v>
      </c>
      <c r="K683" t="s">
        <v>49</v>
      </c>
      <c r="L683">
        <v>7</v>
      </c>
      <c r="M683">
        <v>2</v>
      </c>
      <c r="N683">
        <v>2</v>
      </c>
      <c r="O683" t="s">
        <v>50</v>
      </c>
      <c r="P683" t="s">
        <v>36</v>
      </c>
      <c r="Q683">
        <v>228</v>
      </c>
      <c r="R683">
        <v>54</v>
      </c>
      <c r="S683">
        <v>30</v>
      </c>
      <c r="T683" t="s">
        <v>36</v>
      </c>
      <c r="U683" t="s">
        <v>36</v>
      </c>
      <c r="V683" t="s">
        <v>36</v>
      </c>
      <c r="W683" t="s">
        <v>126</v>
      </c>
      <c r="X683">
        <v>2025</v>
      </c>
      <c r="Y683" t="s">
        <v>116</v>
      </c>
      <c r="Z683" t="s">
        <v>104</v>
      </c>
      <c r="AA683" t="s">
        <v>52</v>
      </c>
    </row>
    <row r="684" spans="1:27" x14ac:dyDescent="0.3">
      <c r="A684" t="s">
        <v>803</v>
      </c>
      <c r="B684" t="s">
        <v>43</v>
      </c>
      <c r="C684">
        <v>28</v>
      </c>
      <c r="D684" t="s">
        <v>89</v>
      </c>
      <c r="E684" t="s">
        <v>144</v>
      </c>
      <c r="F684" t="s">
        <v>31</v>
      </c>
      <c r="G684">
        <v>65643</v>
      </c>
      <c r="H684" s="1">
        <v>43467</v>
      </c>
      <c r="I684" t="s">
        <v>98</v>
      </c>
      <c r="J684" t="s">
        <v>48</v>
      </c>
      <c r="K684" t="s">
        <v>58</v>
      </c>
      <c r="L684">
        <v>4</v>
      </c>
      <c r="M684">
        <v>1</v>
      </c>
      <c r="N684">
        <v>3</v>
      </c>
      <c r="O684" t="s">
        <v>59</v>
      </c>
      <c r="P684" t="s">
        <v>36</v>
      </c>
      <c r="Q684">
        <v>221</v>
      </c>
      <c r="R684">
        <v>22</v>
      </c>
      <c r="S684">
        <v>6</v>
      </c>
      <c r="T684" t="s">
        <v>36</v>
      </c>
      <c r="U684" t="s">
        <v>36</v>
      </c>
      <c r="V684" t="s">
        <v>36</v>
      </c>
      <c r="W684" t="s">
        <v>60</v>
      </c>
      <c r="X684">
        <v>2019</v>
      </c>
      <c r="Y684" t="s">
        <v>94</v>
      </c>
      <c r="Z684" t="s">
        <v>75</v>
      </c>
      <c r="AA684" t="s">
        <v>52</v>
      </c>
    </row>
    <row r="685" spans="1:27" x14ac:dyDescent="0.3">
      <c r="A685" t="s">
        <v>804</v>
      </c>
      <c r="B685" t="s">
        <v>28</v>
      </c>
      <c r="C685">
        <v>35</v>
      </c>
      <c r="D685" t="s">
        <v>77</v>
      </c>
      <c r="E685" t="s">
        <v>138</v>
      </c>
      <c r="F685" t="s">
        <v>96</v>
      </c>
      <c r="G685">
        <v>141249</v>
      </c>
      <c r="H685" s="1">
        <v>44258</v>
      </c>
      <c r="I685" t="s">
        <v>47</v>
      </c>
      <c r="J685" t="s">
        <v>48</v>
      </c>
      <c r="K685" t="s">
        <v>34</v>
      </c>
      <c r="L685">
        <v>17</v>
      </c>
      <c r="M685">
        <v>2</v>
      </c>
      <c r="N685">
        <v>3</v>
      </c>
      <c r="O685" t="s">
        <v>68</v>
      </c>
      <c r="P685" t="s">
        <v>37</v>
      </c>
      <c r="Q685">
        <v>178</v>
      </c>
      <c r="R685">
        <v>31</v>
      </c>
      <c r="S685">
        <v>16</v>
      </c>
      <c r="T685" t="s">
        <v>37</v>
      </c>
      <c r="U685" t="s">
        <v>36</v>
      </c>
      <c r="V685" t="s">
        <v>37</v>
      </c>
      <c r="W685" t="s">
        <v>38</v>
      </c>
      <c r="X685">
        <v>2021</v>
      </c>
      <c r="Y685" t="s">
        <v>142</v>
      </c>
      <c r="Z685" t="s">
        <v>40</v>
      </c>
      <c r="AA685" t="s">
        <v>105</v>
      </c>
    </row>
    <row r="686" spans="1:27" x14ac:dyDescent="0.3">
      <c r="A686" t="s">
        <v>805</v>
      </c>
      <c r="B686" t="s">
        <v>43</v>
      </c>
      <c r="C686">
        <v>23</v>
      </c>
      <c r="D686" t="s">
        <v>65</v>
      </c>
      <c r="E686" t="s">
        <v>120</v>
      </c>
      <c r="F686" t="s">
        <v>56</v>
      </c>
      <c r="G686">
        <v>38196</v>
      </c>
      <c r="H686" s="1">
        <v>46040</v>
      </c>
      <c r="I686" t="s">
        <v>57</v>
      </c>
      <c r="J686" t="s">
        <v>101</v>
      </c>
      <c r="K686" t="s">
        <v>58</v>
      </c>
      <c r="L686">
        <v>0</v>
      </c>
      <c r="M686">
        <v>5</v>
      </c>
      <c r="N686">
        <v>4</v>
      </c>
      <c r="O686" t="s">
        <v>35</v>
      </c>
      <c r="P686" t="s">
        <v>37</v>
      </c>
      <c r="Q686">
        <v>234</v>
      </c>
      <c r="R686">
        <v>48</v>
      </c>
      <c r="S686">
        <v>30</v>
      </c>
      <c r="T686" t="s">
        <v>36</v>
      </c>
      <c r="U686" t="s">
        <v>36</v>
      </c>
      <c r="V686" t="s">
        <v>36</v>
      </c>
      <c r="W686" t="s">
        <v>60</v>
      </c>
      <c r="X686">
        <v>2026</v>
      </c>
      <c r="Y686" t="s">
        <v>94</v>
      </c>
      <c r="Z686" t="s">
        <v>104</v>
      </c>
      <c r="AA686" t="s">
        <v>63</v>
      </c>
    </row>
    <row r="687" spans="1:27" x14ac:dyDescent="0.3">
      <c r="A687" t="s">
        <v>806</v>
      </c>
      <c r="B687" t="s">
        <v>43</v>
      </c>
      <c r="C687">
        <v>36</v>
      </c>
      <c r="D687" t="s">
        <v>81</v>
      </c>
      <c r="E687" t="s">
        <v>201</v>
      </c>
      <c r="F687" t="s">
        <v>96</v>
      </c>
      <c r="G687">
        <v>145824</v>
      </c>
      <c r="H687" s="1">
        <v>44155</v>
      </c>
      <c r="I687" t="s">
        <v>98</v>
      </c>
      <c r="J687" t="s">
        <v>91</v>
      </c>
      <c r="K687" t="s">
        <v>58</v>
      </c>
      <c r="L687">
        <v>17</v>
      </c>
      <c r="M687">
        <v>4</v>
      </c>
      <c r="N687">
        <v>3</v>
      </c>
      <c r="O687" t="s">
        <v>59</v>
      </c>
      <c r="P687" t="s">
        <v>37</v>
      </c>
      <c r="Q687">
        <v>216</v>
      </c>
      <c r="R687">
        <v>60</v>
      </c>
      <c r="S687">
        <v>15</v>
      </c>
      <c r="T687" t="s">
        <v>37</v>
      </c>
      <c r="U687" t="s">
        <v>37</v>
      </c>
      <c r="V687" t="s">
        <v>37</v>
      </c>
      <c r="W687" t="s">
        <v>38</v>
      </c>
      <c r="X687">
        <v>2020</v>
      </c>
      <c r="Y687" t="s">
        <v>123</v>
      </c>
      <c r="Z687" t="s">
        <v>62</v>
      </c>
      <c r="AA687" t="s">
        <v>105</v>
      </c>
    </row>
    <row r="688" spans="1:27" x14ac:dyDescent="0.3">
      <c r="A688" t="s">
        <v>807</v>
      </c>
      <c r="B688" t="s">
        <v>28</v>
      </c>
      <c r="C688">
        <v>30</v>
      </c>
      <c r="D688" t="s">
        <v>81</v>
      </c>
      <c r="E688" t="s">
        <v>82</v>
      </c>
      <c r="F688" t="s">
        <v>46</v>
      </c>
      <c r="G688">
        <v>106960</v>
      </c>
      <c r="H688" s="1">
        <v>44812</v>
      </c>
      <c r="I688" t="s">
        <v>47</v>
      </c>
      <c r="J688" t="s">
        <v>33</v>
      </c>
      <c r="K688" t="s">
        <v>34</v>
      </c>
      <c r="L688">
        <v>13</v>
      </c>
      <c r="M688">
        <v>4</v>
      </c>
      <c r="N688">
        <v>3</v>
      </c>
      <c r="O688" t="s">
        <v>59</v>
      </c>
      <c r="P688" t="s">
        <v>36</v>
      </c>
      <c r="Q688">
        <v>160</v>
      </c>
      <c r="R688">
        <v>33</v>
      </c>
      <c r="S688">
        <v>20</v>
      </c>
      <c r="T688" t="s">
        <v>36</v>
      </c>
      <c r="U688" t="s">
        <v>37</v>
      </c>
      <c r="V688" t="s">
        <v>36</v>
      </c>
      <c r="W688" t="s">
        <v>60</v>
      </c>
      <c r="X688">
        <v>2022</v>
      </c>
      <c r="Y688" t="s">
        <v>51</v>
      </c>
      <c r="Z688" t="s">
        <v>75</v>
      </c>
      <c r="AA688" t="s">
        <v>87</v>
      </c>
    </row>
    <row r="689" spans="1:27" x14ac:dyDescent="0.3">
      <c r="A689" t="s">
        <v>808</v>
      </c>
      <c r="B689" t="s">
        <v>28</v>
      </c>
      <c r="C689">
        <v>29</v>
      </c>
      <c r="D689" t="s">
        <v>89</v>
      </c>
      <c r="E689" t="s">
        <v>130</v>
      </c>
      <c r="F689" t="s">
        <v>96</v>
      </c>
      <c r="G689">
        <v>95518</v>
      </c>
      <c r="H689" s="1">
        <v>43907</v>
      </c>
      <c r="I689" t="s">
        <v>32</v>
      </c>
      <c r="J689" t="s">
        <v>91</v>
      </c>
      <c r="K689" t="s">
        <v>34</v>
      </c>
      <c r="L689">
        <v>17</v>
      </c>
      <c r="M689">
        <v>5</v>
      </c>
      <c r="N689">
        <v>1</v>
      </c>
      <c r="O689" t="s">
        <v>59</v>
      </c>
      <c r="P689" t="s">
        <v>36</v>
      </c>
      <c r="Q689">
        <v>162</v>
      </c>
      <c r="R689">
        <v>55</v>
      </c>
      <c r="S689">
        <v>24</v>
      </c>
      <c r="T689" t="s">
        <v>36</v>
      </c>
      <c r="U689" t="s">
        <v>37</v>
      </c>
      <c r="V689" t="s">
        <v>36</v>
      </c>
      <c r="W689" t="s">
        <v>60</v>
      </c>
      <c r="X689">
        <v>2020</v>
      </c>
      <c r="Y689" t="s">
        <v>142</v>
      </c>
      <c r="Z689" t="s">
        <v>75</v>
      </c>
      <c r="AA689" t="s">
        <v>87</v>
      </c>
    </row>
    <row r="690" spans="1:27" x14ac:dyDescent="0.3">
      <c r="A690" t="s">
        <v>809</v>
      </c>
      <c r="B690" t="s">
        <v>43</v>
      </c>
      <c r="C690">
        <v>36</v>
      </c>
      <c r="D690" t="s">
        <v>89</v>
      </c>
      <c r="E690" t="s">
        <v>130</v>
      </c>
      <c r="F690" t="s">
        <v>56</v>
      </c>
      <c r="G690">
        <v>41064</v>
      </c>
      <c r="H690" s="1">
        <v>46206</v>
      </c>
      <c r="I690" t="s">
        <v>107</v>
      </c>
      <c r="J690" t="s">
        <v>48</v>
      </c>
      <c r="K690" t="s">
        <v>49</v>
      </c>
      <c r="L690">
        <v>3</v>
      </c>
      <c r="M690">
        <v>1</v>
      </c>
      <c r="N690">
        <v>2</v>
      </c>
      <c r="O690" t="s">
        <v>59</v>
      </c>
      <c r="P690" t="s">
        <v>36</v>
      </c>
      <c r="Q690">
        <v>173</v>
      </c>
      <c r="R690">
        <v>8</v>
      </c>
      <c r="S690">
        <v>25</v>
      </c>
      <c r="T690" t="s">
        <v>36</v>
      </c>
      <c r="U690" t="s">
        <v>37</v>
      </c>
      <c r="V690" t="s">
        <v>36</v>
      </c>
      <c r="W690" t="s">
        <v>60</v>
      </c>
      <c r="X690">
        <v>2026</v>
      </c>
      <c r="Y690" t="s">
        <v>79</v>
      </c>
      <c r="Z690" t="s">
        <v>62</v>
      </c>
      <c r="AA690" t="s">
        <v>41</v>
      </c>
    </row>
    <row r="691" spans="1:27" x14ac:dyDescent="0.3">
      <c r="A691" t="s">
        <v>810</v>
      </c>
      <c r="B691" t="s">
        <v>43</v>
      </c>
      <c r="C691">
        <v>35</v>
      </c>
      <c r="D691" t="s">
        <v>65</v>
      </c>
      <c r="E691" t="s">
        <v>66</v>
      </c>
      <c r="F691" t="s">
        <v>31</v>
      </c>
      <c r="G691">
        <v>51064</v>
      </c>
      <c r="H691" s="1">
        <v>43661</v>
      </c>
      <c r="I691" t="s">
        <v>32</v>
      </c>
      <c r="J691" t="s">
        <v>33</v>
      </c>
      <c r="K691" t="s">
        <v>34</v>
      </c>
      <c r="L691">
        <v>5</v>
      </c>
      <c r="M691">
        <v>3</v>
      </c>
      <c r="N691">
        <v>4</v>
      </c>
      <c r="O691" t="s">
        <v>50</v>
      </c>
      <c r="P691" t="s">
        <v>36</v>
      </c>
      <c r="Q691">
        <v>231</v>
      </c>
      <c r="R691">
        <v>56</v>
      </c>
      <c r="S691">
        <v>26</v>
      </c>
      <c r="T691" t="s">
        <v>36</v>
      </c>
      <c r="U691" t="s">
        <v>36</v>
      </c>
      <c r="V691" t="s">
        <v>36</v>
      </c>
      <c r="W691" t="s">
        <v>60</v>
      </c>
      <c r="X691">
        <v>2019</v>
      </c>
      <c r="Y691" t="s">
        <v>79</v>
      </c>
      <c r="Z691" t="s">
        <v>40</v>
      </c>
      <c r="AA691" t="s">
        <v>41</v>
      </c>
    </row>
    <row r="692" spans="1:27" x14ac:dyDescent="0.3">
      <c r="A692" t="s">
        <v>811</v>
      </c>
      <c r="B692" t="s">
        <v>43</v>
      </c>
      <c r="C692">
        <v>29</v>
      </c>
      <c r="D692" t="s">
        <v>54</v>
      </c>
      <c r="E692" t="s">
        <v>207</v>
      </c>
      <c r="F692" t="s">
        <v>46</v>
      </c>
      <c r="G692">
        <v>105396</v>
      </c>
      <c r="H692" s="1">
        <v>44398</v>
      </c>
      <c r="I692" t="s">
        <v>107</v>
      </c>
      <c r="J692" t="s">
        <v>101</v>
      </c>
      <c r="K692" t="s">
        <v>34</v>
      </c>
      <c r="L692">
        <v>13</v>
      </c>
      <c r="M692">
        <v>3</v>
      </c>
      <c r="N692">
        <v>3</v>
      </c>
      <c r="O692" t="s">
        <v>68</v>
      </c>
      <c r="P692" t="s">
        <v>37</v>
      </c>
      <c r="Q692">
        <v>242</v>
      </c>
      <c r="R692">
        <v>53</v>
      </c>
      <c r="S692">
        <v>8</v>
      </c>
      <c r="T692" t="s">
        <v>36</v>
      </c>
      <c r="U692" t="s">
        <v>37</v>
      </c>
      <c r="V692" t="s">
        <v>36</v>
      </c>
      <c r="W692" t="s">
        <v>126</v>
      </c>
      <c r="X692">
        <v>2021</v>
      </c>
      <c r="Y692" t="s">
        <v>79</v>
      </c>
      <c r="Z692" t="s">
        <v>75</v>
      </c>
      <c r="AA692" t="s">
        <v>87</v>
      </c>
    </row>
    <row r="693" spans="1:27" x14ac:dyDescent="0.3">
      <c r="A693" t="s">
        <v>812</v>
      </c>
      <c r="B693" t="s">
        <v>43</v>
      </c>
      <c r="C693">
        <v>40</v>
      </c>
      <c r="D693" t="s">
        <v>65</v>
      </c>
      <c r="E693" t="s">
        <v>72</v>
      </c>
      <c r="F693" t="s">
        <v>46</v>
      </c>
      <c r="G693">
        <v>75434</v>
      </c>
      <c r="H693" s="1">
        <v>44788</v>
      </c>
      <c r="I693" t="s">
        <v>98</v>
      </c>
      <c r="J693" t="s">
        <v>67</v>
      </c>
      <c r="K693" t="s">
        <v>34</v>
      </c>
      <c r="L693">
        <v>7</v>
      </c>
      <c r="M693">
        <v>1</v>
      </c>
      <c r="N693">
        <v>1</v>
      </c>
      <c r="O693" t="s">
        <v>68</v>
      </c>
      <c r="P693" t="s">
        <v>37</v>
      </c>
      <c r="Q693">
        <v>224</v>
      </c>
      <c r="R693">
        <v>55</v>
      </c>
      <c r="S693">
        <v>21</v>
      </c>
      <c r="T693" t="s">
        <v>36</v>
      </c>
      <c r="U693" t="s">
        <v>36</v>
      </c>
      <c r="V693" t="s">
        <v>36</v>
      </c>
      <c r="W693" t="s">
        <v>60</v>
      </c>
      <c r="X693">
        <v>2022</v>
      </c>
      <c r="Y693" t="s">
        <v>128</v>
      </c>
      <c r="Z693" t="s">
        <v>62</v>
      </c>
      <c r="AA693" t="s">
        <v>52</v>
      </c>
    </row>
    <row r="694" spans="1:27" x14ac:dyDescent="0.3">
      <c r="A694" t="s">
        <v>813</v>
      </c>
      <c r="B694" t="s">
        <v>28</v>
      </c>
      <c r="C694">
        <v>24</v>
      </c>
      <c r="D694" t="s">
        <v>54</v>
      </c>
      <c r="E694" t="s">
        <v>153</v>
      </c>
      <c r="F694" t="s">
        <v>96</v>
      </c>
      <c r="G694">
        <v>124520</v>
      </c>
      <c r="H694" s="1">
        <v>44859</v>
      </c>
      <c r="I694" t="s">
        <v>107</v>
      </c>
      <c r="J694" t="s">
        <v>48</v>
      </c>
      <c r="K694" t="s">
        <v>49</v>
      </c>
      <c r="L694">
        <v>10</v>
      </c>
      <c r="M694">
        <v>5</v>
      </c>
      <c r="N694">
        <v>3</v>
      </c>
      <c r="O694" t="s">
        <v>68</v>
      </c>
      <c r="P694" t="s">
        <v>36</v>
      </c>
      <c r="Q694">
        <v>167</v>
      </c>
      <c r="R694">
        <v>61</v>
      </c>
      <c r="S694">
        <v>28</v>
      </c>
      <c r="T694" t="s">
        <v>37</v>
      </c>
      <c r="U694" t="s">
        <v>36</v>
      </c>
      <c r="V694" t="s">
        <v>36</v>
      </c>
      <c r="W694" t="s">
        <v>60</v>
      </c>
      <c r="X694">
        <v>2022</v>
      </c>
      <c r="Y694" t="s">
        <v>83</v>
      </c>
      <c r="Z694" t="s">
        <v>104</v>
      </c>
      <c r="AA694" t="s">
        <v>87</v>
      </c>
    </row>
    <row r="695" spans="1:27" x14ac:dyDescent="0.3">
      <c r="A695" t="s">
        <v>814</v>
      </c>
      <c r="B695" t="s">
        <v>28</v>
      </c>
      <c r="C695">
        <v>36</v>
      </c>
      <c r="D695" t="s">
        <v>81</v>
      </c>
      <c r="E695" t="s">
        <v>201</v>
      </c>
      <c r="F695" t="s">
        <v>96</v>
      </c>
      <c r="G695">
        <v>119421</v>
      </c>
      <c r="H695" s="1">
        <v>44362</v>
      </c>
      <c r="I695" t="s">
        <v>107</v>
      </c>
      <c r="J695" t="s">
        <v>33</v>
      </c>
      <c r="K695" t="s">
        <v>58</v>
      </c>
      <c r="L695">
        <v>19</v>
      </c>
      <c r="M695">
        <v>2</v>
      </c>
      <c r="N695">
        <v>2</v>
      </c>
      <c r="O695" t="s">
        <v>59</v>
      </c>
      <c r="P695" t="s">
        <v>36</v>
      </c>
      <c r="Q695">
        <v>232</v>
      </c>
      <c r="R695">
        <v>61</v>
      </c>
      <c r="S695">
        <v>15</v>
      </c>
      <c r="T695" t="s">
        <v>36</v>
      </c>
      <c r="U695" t="s">
        <v>36</v>
      </c>
      <c r="V695" t="s">
        <v>37</v>
      </c>
      <c r="W695" t="s">
        <v>38</v>
      </c>
      <c r="X695">
        <v>2021</v>
      </c>
      <c r="Y695" t="s">
        <v>61</v>
      </c>
      <c r="Z695" t="s">
        <v>62</v>
      </c>
      <c r="AA695" t="s">
        <v>87</v>
      </c>
    </row>
    <row r="696" spans="1:27" x14ac:dyDescent="0.3">
      <c r="A696" t="s">
        <v>815</v>
      </c>
      <c r="B696" t="s">
        <v>28</v>
      </c>
      <c r="C696">
        <v>36</v>
      </c>
      <c r="D696" t="s">
        <v>77</v>
      </c>
      <c r="E696" t="s">
        <v>138</v>
      </c>
      <c r="F696" t="s">
        <v>96</v>
      </c>
      <c r="G696">
        <v>140738</v>
      </c>
      <c r="H696" s="1">
        <v>44537</v>
      </c>
      <c r="I696" t="s">
        <v>32</v>
      </c>
      <c r="J696" t="s">
        <v>91</v>
      </c>
      <c r="K696" t="s">
        <v>34</v>
      </c>
      <c r="L696">
        <v>19</v>
      </c>
      <c r="M696">
        <v>3</v>
      </c>
      <c r="N696">
        <v>3</v>
      </c>
      <c r="O696" t="s">
        <v>50</v>
      </c>
      <c r="P696" t="s">
        <v>36</v>
      </c>
      <c r="Q696">
        <v>197</v>
      </c>
      <c r="R696">
        <v>14</v>
      </c>
      <c r="S696">
        <v>24</v>
      </c>
      <c r="T696" t="s">
        <v>37</v>
      </c>
      <c r="U696" t="s">
        <v>36</v>
      </c>
      <c r="V696" t="s">
        <v>36</v>
      </c>
      <c r="W696" t="s">
        <v>60</v>
      </c>
      <c r="X696">
        <v>2021</v>
      </c>
      <c r="Y696" t="s">
        <v>116</v>
      </c>
      <c r="Z696" t="s">
        <v>62</v>
      </c>
      <c r="AA696" t="s">
        <v>105</v>
      </c>
    </row>
    <row r="697" spans="1:27" x14ac:dyDescent="0.3">
      <c r="A697" t="s">
        <v>816</v>
      </c>
      <c r="B697" t="s">
        <v>28</v>
      </c>
      <c r="C697">
        <v>29</v>
      </c>
      <c r="D697" t="s">
        <v>85</v>
      </c>
      <c r="E697" t="s">
        <v>86</v>
      </c>
      <c r="F697" t="s">
        <v>96</v>
      </c>
      <c r="G697">
        <v>131089</v>
      </c>
      <c r="H697" s="1">
        <v>45940</v>
      </c>
      <c r="I697" t="s">
        <v>98</v>
      </c>
      <c r="J697" t="s">
        <v>99</v>
      </c>
      <c r="K697" t="s">
        <v>49</v>
      </c>
      <c r="L697">
        <v>9</v>
      </c>
      <c r="M697">
        <v>2</v>
      </c>
      <c r="N697">
        <v>3</v>
      </c>
      <c r="O697" t="s">
        <v>59</v>
      </c>
      <c r="P697" t="s">
        <v>36</v>
      </c>
      <c r="Q697">
        <v>239</v>
      </c>
      <c r="R697">
        <v>68</v>
      </c>
      <c r="S697">
        <v>20</v>
      </c>
      <c r="T697" t="s">
        <v>36</v>
      </c>
      <c r="U697" t="s">
        <v>36</v>
      </c>
      <c r="V697" t="s">
        <v>36</v>
      </c>
      <c r="W697" t="s">
        <v>60</v>
      </c>
      <c r="X697">
        <v>2025</v>
      </c>
      <c r="Y697" t="s">
        <v>83</v>
      </c>
      <c r="Z697" t="s">
        <v>75</v>
      </c>
      <c r="AA697" t="s">
        <v>105</v>
      </c>
    </row>
    <row r="698" spans="1:27" x14ac:dyDescent="0.3">
      <c r="A698" t="s">
        <v>817</v>
      </c>
      <c r="B698" t="s">
        <v>28</v>
      </c>
      <c r="C698">
        <v>34</v>
      </c>
      <c r="D698" t="s">
        <v>29</v>
      </c>
      <c r="E698" t="s">
        <v>122</v>
      </c>
      <c r="F698" t="s">
        <v>56</v>
      </c>
      <c r="G698">
        <v>39390</v>
      </c>
      <c r="H698" s="1">
        <v>44071</v>
      </c>
      <c r="I698" t="s">
        <v>57</v>
      </c>
      <c r="J698" t="s">
        <v>101</v>
      </c>
      <c r="K698" t="s">
        <v>49</v>
      </c>
      <c r="L698">
        <v>3</v>
      </c>
      <c r="M698">
        <v>1</v>
      </c>
      <c r="N698">
        <v>3</v>
      </c>
      <c r="O698" t="s">
        <v>68</v>
      </c>
      <c r="P698" t="s">
        <v>37</v>
      </c>
      <c r="Q698">
        <v>242</v>
      </c>
      <c r="R698">
        <v>55</v>
      </c>
      <c r="S698">
        <v>8</v>
      </c>
      <c r="T698" t="s">
        <v>36</v>
      </c>
      <c r="U698" t="s">
        <v>36</v>
      </c>
      <c r="V698" t="s">
        <v>36</v>
      </c>
      <c r="W698" t="s">
        <v>126</v>
      </c>
      <c r="X698">
        <v>2020</v>
      </c>
      <c r="Y698" t="s">
        <v>128</v>
      </c>
      <c r="Z698" t="s">
        <v>40</v>
      </c>
      <c r="AA698" t="s">
        <v>63</v>
      </c>
    </row>
    <row r="699" spans="1:27" x14ac:dyDescent="0.3">
      <c r="A699" t="s">
        <v>818</v>
      </c>
      <c r="B699" t="s">
        <v>43</v>
      </c>
      <c r="C699">
        <v>23</v>
      </c>
      <c r="D699" t="s">
        <v>81</v>
      </c>
      <c r="E699" t="s">
        <v>82</v>
      </c>
      <c r="F699" t="s">
        <v>31</v>
      </c>
      <c r="G699">
        <v>60673</v>
      </c>
      <c r="H699" s="1">
        <v>45133</v>
      </c>
      <c r="I699" t="s">
        <v>98</v>
      </c>
      <c r="J699" t="s">
        <v>99</v>
      </c>
      <c r="K699" t="s">
        <v>34</v>
      </c>
      <c r="L699">
        <v>6</v>
      </c>
      <c r="M699">
        <v>2</v>
      </c>
      <c r="N699">
        <v>5</v>
      </c>
      <c r="O699" t="s">
        <v>50</v>
      </c>
      <c r="P699" t="s">
        <v>36</v>
      </c>
      <c r="Q699">
        <v>225</v>
      </c>
      <c r="R699">
        <v>80</v>
      </c>
      <c r="S699">
        <v>5</v>
      </c>
      <c r="T699" t="s">
        <v>37</v>
      </c>
      <c r="U699" t="s">
        <v>36</v>
      </c>
      <c r="V699" t="s">
        <v>36</v>
      </c>
      <c r="W699" t="s">
        <v>60</v>
      </c>
      <c r="X699">
        <v>2023</v>
      </c>
      <c r="Y699" t="s">
        <v>79</v>
      </c>
      <c r="Z699" t="s">
        <v>104</v>
      </c>
      <c r="AA699" t="s">
        <v>52</v>
      </c>
    </row>
    <row r="700" spans="1:27" x14ac:dyDescent="0.3">
      <c r="A700" t="s">
        <v>819</v>
      </c>
      <c r="B700" t="s">
        <v>43</v>
      </c>
      <c r="C700">
        <v>38</v>
      </c>
      <c r="D700" t="s">
        <v>85</v>
      </c>
      <c r="E700" t="s">
        <v>168</v>
      </c>
      <c r="F700" t="s">
        <v>31</v>
      </c>
      <c r="G700">
        <v>61710</v>
      </c>
      <c r="H700" s="1">
        <v>44208</v>
      </c>
      <c r="I700" t="s">
        <v>47</v>
      </c>
      <c r="J700" t="s">
        <v>118</v>
      </c>
      <c r="K700" t="s">
        <v>49</v>
      </c>
      <c r="L700">
        <v>3</v>
      </c>
      <c r="M700">
        <v>1</v>
      </c>
      <c r="N700">
        <v>4</v>
      </c>
      <c r="O700" t="s">
        <v>59</v>
      </c>
      <c r="P700" t="s">
        <v>36</v>
      </c>
      <c r="Q700">
        <v>165</v>
      </c>
      <c r="R700">
        <v>65</v>
      </c>
      <c r="S700">
        <v>6</v>
      </c>
      <c r="T700" t="s">
        <v>36</v>
      </c>
      <c r="U700" t="s">
        <v>36</v>
      </c>
      <c r="V700" t="s">
        <v>37</v>
      </c>
      <c r="W700" t="s">
        <v>38</v>
      </c>
      <c r="X700">
        <v>2021</v>
      </c>
      <c r="Y700" t="s">
        <v>94</v>
      </c>
      <c r="Z700" t="s">
        <v>62</v>
      </c>
      <c r="AA700" t="s">
        <v>52</v>
      </c>
    </row>
    <row r="701" spans="1:27" x14ac:dyDescent="0.3">
      <c r="A701" t="s">
        <v>820</v>
      </c>
      <c r="B701" t="s">
        <v>28</v>
      </c>
      <c r="C701">
        <v>30</v>
      </c>
      <c r="D701" t="s">
        <v>54</v>
      </c>
      <c r="E701" t="s">
        <v>207</v>
      </c>
      <c r="F701" t="s">
        <v>46</v>
      </c>
      <c r="G701">
        <v>76626</v>
      </c>
      <c r="H701" s="1">
        <v>44498</v>
      </c>
      <c r="I701" t="s">
        <v>107</v>
      </c>
      <c r="J701" t="s">
        <v>48</v>
      </c>
      <c r="K701" t="s">
        <v>49</v>
      </c>
      <c r="L701">
        <v>11</v>
      </c>
      <c r="M701">
        <v>4</v>
      </c>
      <c r="N701">
        <v>1</v>
      </c>
      <c r="O701" t="s">
        <v>59</v>
      </c>
      <c r="P701" t="s">
        <v>37</v>
      </c>
      <c r="Q701">
        <v>183</v>
      </c>
      <c r="R701">
        <v>17</v>
      </c>
      <c r="S701">
        <v>18</v>
      </c>
      <c r="T701" t="s">
        <v>36</v>
      </c>
      <c r="U701" t="s">
        <v>36</v>
      </c>
      <c r="V701" t="s">
        <v>37</v>
      </c>
      <c r="W701" t="s">
        <v>38</v>
      </c>
      <c r="X701">
        <v>2021</v>
      </c>
      <c r="Y701" t="s">
        <v>83</v>
      </c>
      <c r="Z701" t="s">
        <v>75</v>
      </c>
      <c r="AA701" t="s">
        <v>52</v>
      </c>
    </row>
    <row r="702" spans="1:27" x14ac:dyDescent="0.3">
      <c r="A702" t="s">
        <v>821</v>
      </c>
      <c r="B702" t="s">
        <v>28</v>
      </c>
      <c r="C702">
        <v>28</v>
      </c>
      <c r="D702" t="s">
        <v>29</v>
      </c>
      <c r="E702" t="s">
        <v>103</v>
      </c>
      <c r="F702" t="s">
        <v>46</v>
      </c>
      <c r="G702">
        <v>71258</v>
      </c>
      <c r="H702" s="1">
        <v>43473</v>
      </c>
      <c r="I702" t="s">
        <v>98</v>
      </c>
      <c r="J702" t="s">
        <v>91</v>
      </c>
      <c r="K702" t="s">
        <v>58</v>
      </c>
      <c r="L702">
        <v>7</v>
      </c>
      <c r="M702">
        <v>5</v>
      </c>
      <c r="N702">
        <v>1</v>
      </c>
      <c r="O702" t="s">
        <v>68</v>
      </c>
      <c r="P702" t="s">
        <v>37</v>
      </c>
      <c r="Q702">
        <v>191</v>
      </c>
      <c r="R702">
        <v>29</v>
      </c>
      <c r="S702">
        <v>22</v>
      </c>
      <c r="T702" t="s">
        <v>36</v>
      </c>
      <c r="U702" t="s">
        <v>36</v>
      </c>
      <c r="V702" t="s">
        <v>36</v>
      </c>
      <c r="W702" t="s">
        <v>126</v>
      </c>
      <c r="X702">
        <v>2019</v>
      </c>
      <c r="Y702" t="s">
        <v>94</v>
      </c>
      <c r="Z702" t="s">
        <v>75</v>
      </c>
      <c r="AA702" t="s">
        <v>52</v>
      </c>
    </row>
    <row r="703" spans="1:27" x14ac:dyDescent="0.3">
      <c r="A703" t="s">
        <v>822</v>
      </c>
      <c r="B703" t="s">
        <v>28</v>
      </c>
      <c r="C703">
        <v>39</v>
      </c>
      <c r="D703" t="s">
        <v>44</v>
      </c>
      <c r="E703" t="s">
        <v>109</v>
      </c>
      <c r="F703" t="s">
        <v>56</v>
      </c>
      <c r="G703">
        <v>33068</v>
      </c>
      <c r="H703" s="1">
        <v>45817</v>
      </c>
      <c r="I703" t="s">
        <v>47</v>
      </c>
      <c r="J703" t="s">
        <v>99</v>
      </c>
      <c r="K703" t="s">
        <v>34</v>
      </c>
      <c r="L703">
        <v>2</v>
      </c>
      <c r="M703">
        <v>2</v>
      </c>
      <c r="N703">
        <v>4</v>
      </c>
      <c r="O703" t="s">
        <v>35</v>
      </c>
      <c r="P703" t="s">
        <v>36</v>
      </c>
      <c r="Q703">
        <v>258</v>
      </c>
      <c r="R703">
        <v>73</v>
      </c>
      <c r="S703">
        <v>30</v>
      </c>
      <c r="T703" t="s">
        <v>37</v>
      </c>
      <c r="U703" t="s">
        <v>36</v>
      </c>
      <c r="V703" t="s">
        <v>36</v>
      </c>
      <c r="W703" t="s">
        <v>60</v>
      </c>
      <c r="X703">
        <v>2025</v>
      </c>
      <c r="Y703" t="s">
        <v>61</v>
      </c>
      <c r="Z703" t="s">
        <v>62</v>
      </c>
      <c r="AA703" t="s">
        <v>63</v>
      </c>
    </row>
    <row r="704" spans="1:27" x14ac:dyDescent="0.3">
      <c r="A704" t="s">
        <v>823</v>
      </c>
      <c r="B704" t="s">
        <v>43</v>
      </c>
      <c r="C704">
        <v>27</v>
      </c>
      <c r="D704" t="s">
        <v>54</v>
      </c>
      <c r="E704" t="s">
        <v>207</v>
      </c>
      <c r="F704" t="s">
        <v>31</v>
      </c>
      <c r="G704">
        <v>61336</v>
      </c>
      <c r="H704" s="1">
        <v>44151</v>
      </c>
      <c r="I704" t="s">
        <v>107</v>
      </c>
      <c r="J704" t="s">
        <v>101</v>
      </c>
      <c r="K704" t="s">
        <v>34</v>
      </c>
      <c r="L704">
        <v>6</v>
      </c>
      <c r="M704">
        <v>1</v>
      </c>
      <c r="N704">
        <v>4</v>
      </c>
      <c r="O704" t="s">
        <v>59</v>
      </c>
      <c r="P704" t="s">
        <v>37</v>
      </c>
      <c r="Q704">
        <v>227</v>
      </c>
      <c r="R704">
        <v>62</v>
      </c>
      <c r="S704">
        <v>5</v>
      </c>
      <c r="T704" t="s">
        <v>36</v>
      </c>
      <c r="U704" t="s">
        <v>36</v>
      </c>
      <c r="V704" t="s">
        <v>36</v>
      </c>
      <c r="W704" t="s">
        <v>60</v>
      </c>
      <c r="X704">
        <v>2020</v>
      </c>
      <c r="Y704" t="s">
        <v>123</v>
      </c>
      <c r="Z704" t="s">
        <v>75</v>
      </c>
      <c r="AA704" t="s">
        <v>52</v>
      </c>
    </row>
    <row r="705" spans="1:27" x14ac:dyDescent="0.3">
      <c r="A705" t="s">
        <v>824</v>
      </c>
      <c r="B705" t="s">
        <v>43</v>
      </c>
      <c r="C705">
        <v>22</v>
      </c>
      <c r="D705" t="s">
        <v>44</v>
      </c>
      <c r="E705" t="s">
        <v>109</v>
      </c>
      <c r="F705" t="s">
        <v>31</v>
      </c>
      <c r="G705">
        <v>49846</v>
      </c>
      <c r="H705" s="1">
        <v>44237</v>
      </c>
      <c r="I705" t="s">
        <v>98</v>
      </c>
      <c r="J705" t="s">
        <v>48</v>
      </c>
      <c r="K705" t="s">
        <v>34</v>
      </c>
      <c r="L705">
        <v>5</v>
      </c>
      <c r="M705">
        <v>4</v>
      </c>
      <c r="N705">
        <v>1</v>
      </c>
      <c r="O705" t="s">
        <v>35</v>
      </c>
      <c r="P705" t="s">
        <v>36</v>
      </c>
      <c r="Q705">
        <v>157</v>
      </c>
      <c r="R705">
        <v>46</v>
      </c>
      <c r="S705">
        <v>18</v>
      </c>
      <c r="T705" t="s">
        <v>36</v>
      </c>
      <c r="U705" t="s">
        <v>36</v>
      </c>
      <c r="V705" t="s">
        <v>36</v>
      </c>
      <c r="W705" t="s">
        <v>126</v>
      </c>
      <c r="X705">
        <v>2021</v>
      </c>
      <c r="Y705" t="s">
        <v>39</v>
      </c>
      <c r="Z705" t="s">
        <v>104</v>
      </c>
      <c r="AA705" t="s">
        <v>41</v>
      </c>
    </row>
    <row r="706" spans="1:27" x14ac:dyDescent="0.3">
      <c r="A706" t="s">
        <v>825</v>
      </c>
      <c r="B706" t="s">
        <v>28</v>
      </c>
      <c r="C706">
        <v>21</v>
      </c>
      <c r="D706" t="s">
        <v>81</v>
      </c>
      <c r="E706" t="s">
        <v>82</v>
      </c>
      <c r="F706" t="s">
        <v>31</v>
      </c>
      <c r="G706">
        <v>56676</v>
      </c>
      <c r="H706" s="1">
        <v>44665</v>
      </c>
      <c r="I706" t="s">
        <v>47</v>
      </c>
      <c r="J706" t="s">
        <v>48</v>
      </c>
      <c r="K706" t="s">
        <v>49</v>
      </c>
      <c r="L706">
        <v>3</v>
      </c>
      <c r="M706">
        <v>4</v>
      </c>
      <c r="N706">
        <v>4</v>
      </c>
      <c r="O706" t="s">
        <v>59</v>
      </c>
      <c r="P706" t="s">
        <v>36</v>
      </c>
      <c r="Q706">
        <v>198</v>
      </c>
      <c r="R706">
        <v>54</v>
      </c>
      <c r="S706">
        <v>11</v>
      </c>
      <c r="T706" t="s">
        <v>36</v>
      </c>
      <c r="U706" t="s">
        <v>37</v>
      </c>
      <c r="V706" t="s">
        <v>36</v>
      </c>
      <c r="W706" t="s">
        <v>60</v>
      </c>
      <c r="X706">
        <v>2022</v>
      </c>
      <c r="Y706" t="s">
        <v>69</v>
      </c>
      <c r="Z706" t="s">
        <v>104</v>
      </c>
      <c r="AA706" t="s">
        <v>41</v>
      </c>
    </row>
    <row r="707" spans="1:27" x14ac:dyDescent="0.3">
      <c r="A707" t="s">
        <v>826</v>
      </c>
      <c r="B707" t="s">
        <v>28</v>
      </c>
      <c r="C707">
        <v>36</v>
      </c>
      <c r="D707" t="s">
        <v>29</v>
      </c>
      <c r="E707" t="s">
        <v>93</v>
      </c>
      <c r="F707" t="s">
        <v>56</v>
      </c>
      <c r="G707">
        <v>38063</v>
      </c>
      <c r="H707" s="1">
        <v>46091</v>
      </c>
      <c r="I707" t="s">
        <v>47</v>
      </c>
      <c r="J707" t="s">
        <v>33</v>
      </c>
      <c r="K707" t="s">
        <v>49</v>
      </c>
      <c r="L707">
        <v>1</v>
      </c>
      <c r="M707">
        <v>3</v>
      </c>
      <c r="N707">
        <v>1</v>
      </c>
      <c r="O707" t="s">
        <v>35</v>
      </c>
      <c r="P707" t="s">
        <v>36</v>
      </c>
      <c r="Q707">
        <v>153</v>
      </c>
      <c r="R707">
        <v>60</v>
      </c>
      <c r="S707">
        <v>25</v>
      </c>
      <c r="T707" t="s">
        <v>36</v>
      </c>
      <c r="U707" t="s">
        <v>37</v>
      </c>
      <c r="V707" t="s">
        <v>36</v>
      </c>
      <c r="W707" t="s">
        <v>60</v>
      </c>
      <c r="X707">
        <v>2026</v>
      </c>
      <c r="Y707" t="s">
        <v>142</v>
      </c>
      <c r="Z707" t="s">
        <v>62</v>
      </c>
      <c r="AA707" t="s">
        <v>63</v>
      </c>
    </row>
    <row r="708" spans="1:27" x14ac:dyDescent="0.3">
      <c r="A708" t="s">
        <v>827</v>
      </c>
      <c r="B708" t="s">
        <v>43</v>
      </c>
      <c r="C708">
        <v>23</v>
      </c>
      <c r="D708" t="s">
        <v>29</v>
      </c>
      <c r="E708" t="s">
        <v>93</v>
      </c>
      <c r="F708" t="s">
        <v>56</v>
      </c>
      <c r="G708">
        <v>42982</v>
      </c>
      <c r="H708" s="1">
        <v>44373</v>
      </c>
      <c r="I708" t="s">
        <v>98</v>
      </c>
      <c r="J708" t="s">
        <v>99</v>
      </c>
      <c r="K708" t="s">
        <v>58</v>
      </c>
      <c r="L708">
        <v>1</v>
      </c>
      <c r="M708">
        <v>3</v>
      </c>
      <c r="N708">
        <v>1</v>
      </c>
      <c r="O708" t="s">
        <v>59</v>
      </c>
      <c r="P708" t="s">
        <v>36</v>
      </c>
      <c r="Q708">
        <v>176</v>
      </c>
      <c r="R708">
        <v>31</v>
      </c>
      <c r="S708">
        <v>30</v>
      </c>
      <c r="T708" t="s">
        <v>36</v>
      </c>
      <c r="U708" t="s">
        <v>36</v>
      </c>
      <c r="V708" t="s">
        <v>36</v>
      </c>
      <c r="W708" t="s">
        <v>60</v>
      </c>
      <c r="X708">
        <v>2021</v>
      </c>
      <c r="Y708" t="s">
        <v>61</v>
      </c>
      <c r="Z708" t="s">
        <v>104</v>
      </c>
      <c r="AA708" t="s">
        <v>41</v>
      </c>
    </row>
    <row r="709" spans="1:27" x14ac:dyDescent="0.3">
      <c r="A709" t="s">
        <v>828</v>
      </c>
      <c r="B709" t="s">
        <v>43</v>
      </c>
      <c r="C709">
        <v>44</v>
      </c>
      <c r="D709" t="s">
        <v>29</v>
      </c>
      <c r="E709" t="s">
        <v>93</v>
      </c>
      <c r="F709" t="s">
        <v>46</v>
      </c>
      <c r="G709">
        <v>76603</v>
      </c>
      <c r="H709" s="1">
        <v>44401</v>
      </c>
      <c r="I709" t="s">
        <v>98</v>
      </c>
      <c r="J709" t="s">
        <v>67</v>
      </c>
      <c r="K709" t="s">
        <v>49</v>
      </c>
      <c r="L709">
        <v>11</v>
      </c>
      <c r="M709">
        <v>3</v>
      </c>
      <c r="N709">
        <v>4</v>
      </c>
      <c r="O709" t="s">
        <v>50</v>
      </c>
      <c r="P709" t="s">
        <v>37</v>
      </c>
      <c r="Q709">
        <v>169</v>
      </c>
      <c r="R709">
        <v>31</v>
      </c>
      <c r="S709">
        <v>30</v>
      </c>
      <c r="T709" t="s">
        <v>36</v>
      </c>
      <c r="U709" t="s">
        <v>36</v>
      </c>
      <c r="V709" t="s">
        <v>36</v>
      </c>
      <c r="W709" t="s">
        <v>60</v>
      </c>
      <c r="X709">
        <v>2021</v>
      </c>
      <c r="Y709" t="s">
        <v>79</v>
      </c>
      <c r="Z709" t="s">
        <v>70</v>
      </c>
      <c r="AA709" t="s">
        <v>52</v>
      </c>
    </row>
    <row r="710" spans="1:27" x14ac:dyDescent="0.3">
      <c r="A710" t="s">
        <v>829</v>
      </c>
      <c r="B710" t="s">
        <v>43</v>
      </c>
      <c r="C710">
        <v>21</v>
      </c>
      <c r="D710" t="s">
        <v>29</v>
      </c>
      <c r="E710" t="s">
        <v>122</v>
      </c>
      <c r="F710" t="s">
        <v>96</v>
      </c>
      <c r="G710">
        <v>139431</v>
      </c>
      <c r="H710" s="1">
        <v>44242</v>
      </c>
      <c r="I710" t="s">
        <v>47</v>
      </c>
      <c r="J710" t="s">
        <v>73</v>
      </c>
      <c r="K710" t="s">
        <v>34</v>
      </c>
      <c r="L710">
        <v>12</v>
      </c>
      <c r="M710">
        <v>4</v>
      </c>
      <c r="N710">
        <v>3</v>
      </c>
      <c r="O710" t="s">
        <v>68</v>
      </c>
      <c r="P710" t="s">
        <v>36</v>
      </c>
      <c r="Q710">
        <v>151</v>
      </c>
      <c r="R710">
        <v>14</v>
      </c>
      <c r="S710">
        <v>22</v>
      </c>
      <c r="T710" t="s">
        <v>37</v>
      </c>
      <c r="U710" t="s">
        <v>36</v>
      </c>
      <c r="V710" t="s">
        <v>37</v>
      </c>
      <c r="W710" t="s">
        <v>38</v>
      </c>
      <c r="X710">
        <v>2021</v>
      </c>
      <c r="Y710" t="s">
        <v>39</v>
      </c>
      <c r="Z710" t="s">
        <v>104</v>
      </c>
      <c r="AA710" t="s">
        <v>105</v>
      </c>
    </row>
    <row r="711" spans="1:27" x14ac:dyDescent="0.3">
      <c r="A711" t="s">
        <v>830</v>
      </c>
      <c r="B711" t="s">
        <v>28</v>
      </c>
      <c r="C711">
        <v>43</v>
      </c>
      <c r="D711" t="s">
        <v>85</v>
      </c>
      <c r="E711" t="s">
        <v>159</v>
      </c>
      <c r="F711" t="s">
        <v>56</v>
      </c>
      <c r="G711">
        <v>34008</v>
      </c>
      <c r="H711" s="1">
        <v>44151</v>
      </c>
      <c r="I711" t="s">
        <v>98</v>
      </c>
      <c r="J711" t="s">
        <v>67</v>
      </c>
      <c r="K711" t="s">
        <v>58</v>
      </c>
      <c r="L711">
        <v>2</v>
      </c>
      <c r="M711">
        <v>3</v>
      </c>
      <c r="N711">
        <v>4</v>
      </c>
      <c r="O711" t="s">
        <v>35</v>
      </c>
      <c r="P711" t="s">
        <v>36</v>
      </c>
      <c r="Q711">
        <v>218</v>
      </c>
      <c r="R711">
        <v>55</v>
      </c>
      <c r="S711">
        <v>28</v>
      </c>
      <c r="T711" t="s">
        <v>37</v>
      </c>
      <c r="U711" t="s">
        <v>36</v>
      </c>
      <c r="V711" t="s">
        <v>36</v>
      </c>
      <c r="W711" t="s">
        <v>60</v>
      </c>
      <c r="X711">
        <v>2020</v>
      </c>
      <c r="Y711" t="s">
        <v>123</v>
      </c>
      <c r="Z711" t="s">
        <v>70</v>
      </c>
      <c r="AA711" t="s">
        <v>63</v>
      </c>
    </row>
    <row r="712" spans="1:27" x14ac:dyDescent="0.3">
      <c r="A712" t="s">
        <v>831</v>
      </c>
      <c r="B712" t="s">
        <v>43</v>
      </c>
      <c r="C712">
        <v>33</v>
      </c>
      <c r="D712" t="s">
        <v>44</v>
      </c>
      <c r="E712" t="s">
        <v>115</v>
      </c>
      <c r="F712" t="s">
        <v>56</v>
      </c>
      <c r="G712">
        <v>43366</v>
      </c>
      <c r="H712" s="1">
        <v>43913</v>
      </c>
      <c r="I712" t="s">
        <v>57</v>
      </c>
      <c r="J712" t="s">
        <v>33</v>
      </c>
      <c r="K712" t="s">
        <v>49</v>
      </c>
      <c r="L712">
        <v>3</v>
      </c>
      <c r="M712">
        <v>1</v>
      </c>
      <c r="N712">
        <v>2</v>
      </c>
      <c r="O712" t="s">
        <v>50</v>
      </c>
      <c r="P712" t="s">
        <v>37</v>
      </c>
      <c r="Q712">
        <v>256</v>
      </c>
      <c r="R712">
        <v>61</v>
      </c>
      <c r="S712">
        <v>25</v>
      </c>
      <c r="T712" t="s">
        <v>37</v>
      </c>
      <c r="U712" t="s">
        <v>36</v>
      </c>
      <c r="V712" t="s">
        <v>37</v>
      </c>
      <c r="W712" t="s">
        <v>38</v>
      </c>
      <c r="X712">
        <v>2020</v>
      </c>
      <c r="Y712" t="s">
        <v>142</v>
      </c>
      <c r="Z712" t="s">
        <v>40</v>
      </c>
      <c r="AA712" t="s">
        <v>41</v>
      </c>
    </row>
    <row r="713" spans="1:27" x14ac:dyDescent="0.3">
      <c r="A713" t="s">
        <v>832</v>
      </c>
      <c r="B713" t="s">
        <v>43</v>
      </c>
      <c r="C713">
        <v>31</v>
      </c>
      <c r="D713" t="s">
        <v>29</v>
      </c>
      <c r="E713" t="s">
        <v>93</v>
      </c>
      <c r="F713" t="s">
        <v>31</v>
      </c>
      <c r="G713">
        <v>65753</v>
      </c>
      <c r="H713" s="1">
        <v>43645</v>
      </c>
      <c r="I713" t="s">
        <v>107</v>
      </c>
      <c r="J713" t="s">
        <v>101</v>
      </c>
      <c r="K713" t="s">
        <v>58</v>
      </c>
      <c r="L713">
        <v>4</v>
      </c>
      <c r="M713">
        <v>5</v>
      </c>
      <c r="N713">
        <v>1</v>
      </c>
      <c r="O713" t="s">
        <v>35</v>
      </c>
      <c r="P713" t="s">
        <v>37</v>
      </c>
      <c r="Q713">
        <v>193</v>
      </c>
      <c r="R713">
        <v>55</v>
      </c>
      <c r="S713">
        <v>14</v>
      </c>
      <c r="T713" t="s">
        <v>37</v>
      </c>
      <c r="U713" t="s">
        <v>36</v>
      </c>
      <c r="V713" t="s">
        <v>36</v>
      </c>
      <c r="W713" t="s">
        <v>60</v>
      </c>
      <c r="X713">
        <v>2019</v>
      </c>
      <c r="Y713" t="s">
        <v>61</v>
      </c>
      <c r="Z713" t="s">
        <v>40</v>
      </c>
      <c r="AA713" t="s">
        <v>52</v>
      </c>
    </row>
    <row r="714" spans="1:27" x14ac:dyDescent="0.3">
      <c r="A714" t="s">
        <v>833</v>
      </c>
      <c r="B714" t="s">
        <v>28</v>
      </c>
      <c r="C714">
        <v>28</v>
      </c>
      <c r="D714" t="s">
        <v>44</v>
      </c>
      <c r="E714" t="s">
        <v>115</v>
      </c>
      <c r="F714" t="s">
        <v>31</v>
      </c>
      <c r="G714">
        <v>53006</v>
      </c>
      <c r="H714" s="1">
        <v>45263</v>
      </c>
      <c r="I714" t="s">
        <v>107</v>
      </c>
      <c r="J714" t="s">
        <v>73</v>
      </c>
      <c r="K714" t="s">
        <v>58</v>
      </c>
      <c r="L714">
        <v>7</v>
      </c>
      <c r="M714">
        <v>1</v>
      </c>
      <c r="N714">
        <v>4</v>
      </c>
      <c r="O714" t="s">
        <v>50</v>
      </c>
      <c r="P714" t="s">
        <v>37</v>
      </c>
      <c r="Q714">
        <v>257</v>
      </c>
      <c r="R714">
        <v>12</v>
      </c>
      <c r="S714">
        <v>5</v>
      </c>
      <c r="T714" t="s">
        <v>36</v>
      </c>
      <c r="U714" t="s">
        <v>36</v>
      </c>
      <c r="V714" t="s">
        <v>36</v>
      </c>
      <c r="W714" t="s">
        <v>60</v>
      </c>
      <c r="X714">
        <v>2023</v>
      </c>
      <c r="Y714" t="s">
        <v>116</v>
      </c>
      <c r="Z714" t="s">
        <v>75</v>
      </c>
      <c r="AA714" t="s">
        <v>41</v>
      </c>
    </row>
    <row r="715" spans="1:27" x14ac:dyDescent="0.3">
      <c r="A715" t="s">
        <v>834</v>
      </c>
      <c r="B715" t="s">
        <v>43</v>
      </c>
      <c r="C715">
        <v>34</v>
      </c>
      <c r="D715" t="s">
        <v>29</v>
      </c>
      <c r="E715" t="s">
        <v>93</v>
      </c>
      <c r="F715" t="s">
        <v>46</v>
      </c>
      <c r="G715">
        <v>89272</v>
      </c>
      <c r="H715" s="1">
        <v>44053</v>
      </c>
      <c r="I715" t="s">
        <v>47</v>
      </c>
      <c r="J715" t="s">
        <v>48</v>
      </c>
      <c r="K715" t="s">
        <v>58</v>
      </c>
      <c r="L715">
        <v>5</v>
      </c>
      <c r="M715">
        <v>1</v>
      </c>
      <c r="N715">
        <v>2</v>
      </c>
      <c r="O715" t="s">
        <v>35</v>
      </c>
      <c r="P715" t="s">
        <v>37</v>
      </c>
      <c r="Q715">
        <v>198</v>
      </c>
      <c r="R715">
        <v>77</v>
      </c>
      <c r="S715">
        <v>19</v>
      </c>
      <c r="T715" t="s">
        <v>37</v>
      </c>
      <c r="U715" t="s">
        <v>37</v>
      </c>
      <c r="V715" t="s">
        <v>36</v>
      </c>
      <c r="W715" t="s">
        <v>60</v>
      </c>
      <c r="X715">
        <v>2020</v>
      </c>
      <c r="Y715" t="s">
        <v>128</v>
      </c>
      <c r="Z715" t="s">
        <v>40</v>
      </c>
      <c r="AA715" t="s">
        <v>52</v>
      </c>
    </row>
    <row r="716" spans="1:27" x14ac:dyDescent="0.3">
      <c r="A716" t="s">
        <v>835</v>
      </c>
      <c r="B716" t="s">
        <v>43</v>
      </c>
      <c r="C716">
        <v>31</v>
      </c>
      <c r="D716" t="s">
        <v>77</v>
      </c>
      <c r="E716" t="s">
        <v>78</v>
      </c>
      <c r="F716" t="s">
        <v>96</v>
      </c>
      <c r="G716">
        <v>148939</v>
      </c>
      <c r="H716" s="1">
        <v>44439</v>
      </c>
      <c r="I716" t="s">
        <v>32</v>
      </c>
      <c r="J716" t="s">
        <v>101</v>
      </c>
      <c r="K716" t="s">
        <v>34</v>
      </c>
      <c r="L716">
        <v>19</v>
      </c>
      <c r="M716">
        <v>4</v>
      </c>
      <c r="N716">
        <v>5</v>
      </c>
      <c r="O716" t="s">
        <v>50</v>
      </c>
      <c r="P716" t="s">
        <v>36</v>
      </c>
      <c r="Q716">
        <v>194</v>
      </c>
      <c r="R716">
        <v>33</v>
      </c>
      <c r="S716">
        <v>6</v>
      </c>
      <c r="T716" t="s">
        <v>36</v>
      </c>
      <c r="U716" t="s">
        <v>36</v>
      </c>
      <c r="V716" t="s">
        <v>36</v>
      </c>
      <c r="W716" t="s">
        <v>60</v>
      </c>
      <c r="X716">
        <v>2021</v>
      </c>
      <c r="Y716" t="s">
        <v>128</v>
      </c>
      <c r="Z716" t="s">
        <v>40</v>
      </c>
      <c r="AA716" t="s">
        <v>105</v>
      </c>
    </row>
    <row r="717" spans="1:27" x14ac:dyDescent="0.3">
      <c r="A717" t="s">
        <v>836</v>
      </c>
      <c r="B717" t="s">
        <v>43</v>
      </c>
      <c r="C717">
        <v>39</v>
      </c>
      <c r="D717" t="s">
        <v>81</v>
      </c>
      <c r="E717" t="s">
        <v>113</v>
      </c>
      <c r="F717" t="s">
        <v>46</v>
      </c>
      <c r="G717">
        <v>66372</v>
      </c>
      <c r="H717" s="1">
        <v>44694</v>
      </c>
      <c r="I717" t="s">
        <v>32</v>
      </c>
      <c r="J717" t="s">
        <v>91</v>
      </c>
      <c r="K717" t="s">
        <v>58</v>
      </c>
      <c r="L717">
        <v>11</v>
      </c>
      <c r="M717">
        <v>2</v>
      </c>
      <c r="N717">
        <v>1</v>
      </c>
      <c r="O717" t="s">
        <v>59</v>
      </c>
      <c r="P717" t="s">
        <v>36</v>
      </c>
      <c r="Q717">
        <v>202</v>
      </c>
      <c r="R717">
        <v>58</v>
      </c>
      <c r="S717">
        <v>30</v>
      </c>
      <c r="T717" t="s">
        <v>36</v>
      </c>
      <c r="U717" t="s">
        <v>36</v>
      </c>
      <c r="V717" t="s">
        <v>36</v>
      </c>
      <c r="W717" t="s">
        <v>126</v>
      </c>
      <c r="X717">
        <v>2022</v>
      </c>
      <c r="Y717" t="s">
        <v>74</v>
      </c>
      <c r="Z717" t="s">
        <v>62</v>
      </c>
      <c r="AA717" t="s">
        <v>52</v>
      </c>
    </row>
    <row r="718" spans="1:27" x14ac:dyDescent="0.3">
      <c r="A718" t="s">
        <v>837</v>
      </c>
      <c r="B718" t="s">
        <v>43</v>
      </c>
      <c r="C718">
        <v>32</v>
      </c>
      <c r="D718" t="s">
        <v>89</v>
      </c>
      <c r="E718" t="s">
        <v>130</v>
      </c>
      <c r="F718" t="s">
        <v>96</v>
      </c>
      <c r="G718">
        <v>137652</v>
      </c>
      <c r="H718" s="1">
        <v>44801</v>
      </c>
      <c r="I718" t="s">
        <v>32</v>
      </c>
      <c r="J718" t="s">
        <v>33</v>
      </c>
      <c r="K718" t="s">
        <v>34</v>
      </c>
      <c r="L718">
        <v>13</v>
      </c>
      <c r="M718">
        <v>4</v>
      </c>
      <c r="N718">
        <v>2</v>
      </c>
      <c r="O718" t="s">
        <v>50</v>
      </c>
      <c r="P718" t="s">
        <v>36</v>
      </c>
      <c r="Q718">
        <v>217</v>
      </c>
      <c r="R718">
        <v>64</v>
      </c>
      <c r="S718">
        <v>19</v>
      </c>
      <c r="T718" t="s">
        <v>36</v>
      </c>
      <c r="U718" t="s">
        <v>36</v>
      </c>
      <c r="V718" t="s">
        <v>36</v>
      </c>
      <c r="W718" t="s">
        <v>60</v>
      </c>
      <c r="X718">
        <v>2022</v>
      </c>
      <c r="Y718" t="s">
        <v>128</v>
      </c>
      <c r="Z718" t="s">
        <v>40</v>
      </c>
      <c r="AA718" t="s">
        <v>105</v>
      </c>
    </row>
    <row r="719" spans="1:27" x14ac:dyDescent="0.3">
      <c r="A719" t="s">
        <v>838</v>
      </c>
      <c r="B719" t="s">
        <v>43</v>
      </c>
      <c r="C719">
        <v>33</v>
      </c>
      <c r="D719" t="s">
        <v>44</v>
      </c>
      <c r="E719" t="s">
        <v>45</v>
      </c>
      <c r="F719" t="s">
        <v>31</v>
      </c>
      <c r="G719">
        <v>57408</v>
      </c>
      <c r="H719" s="1">
        <v>45689</v>
      </c>
      <c r="I719" t="s">
        <v>107</v>
      </c>
      <c r="J719" t="s">
        <v>73</v>
      </c>
      <c r="K719" t="s">
        <v>34</v>
      </c>
      <c r="L719">
        <v>2</v>
      </c>
      <c r="M719">
        <v>4</v>
      </c>
      <c r="N719">
        <v>3</v>
      </c>
      <c r="O719" t="s">
        <v>59</v>
      </c>
      <c r="P719" t="s">
        <v>36</v>
      </c>
      <c r="Q719">
        <v>202</v>
      </c>
      <c r="R719">
        <v>71</v>
      </c>
      <c r="S719">
        <v>15</v>
      </c>
      <c r="T719" t="s">
        <v>37</v>
      </c>
      <c r="U719" t="s">
        <v>37</v>
      </c>
      <c r="V719" t="s">
        <v>36</v>
      </c>
      <c r="W719" t="s">
        <v>126</v>
      </c>
      <c r="X719">
        <v>2025</v>
      </c>
      <c r="Y719" t="s">
        <v>39</v>
      </c>
      <c r="Z719" t="s">
        <v>40</v>
      </c>
      <c r="AA719" t="s">
        <v>41</v>
      </c>
    </row>
    <row r="720" spans="1:27" x14ac:dyDescent="0.3">
      <c r="A720" t="s">
        <v>839</v>
      </c>
      <c r="B720" t="s">
        <v>28</v>
      </c>
      <c r="C720">
        <v>29</v>
      </c>
      <c r="D720" t="s">
        <v>44</v>
      </c>
      <c r="E720" t="s">
        <v>45</v>
      </c>
      <c r="F720" t="s">
        <v>31</v>
      </c>
      <c r="G720">
        <v>50956</v>
      </c>
      <c r="H720" s="1">
        <v>46253</v>
      </c>
      <c r="I720" t="s">
        <v>107</v>
      </c>
      <c r="J720" t="s">
        <v>101</v>
      </c>
      <c r="K720" t="s">
        <v>58</v>
      </c>
      <c r="L720">
        <v>7</v>
      </c>
      <c r="M720">
        <v>5</v>
      </c>
      <c r="N720">
        <v>2</v>
      </c>
      <c r="O720" t="s">
        <v>68</v>
      </c>
      <c r="P720" t="s">
        <v>36</v>
      </c>
      <c r="Q720">
        <v>201</v>
      </c>
      <c r="R720">
        <v>67</v>
      </c>
      <c r="S720">
        <v>12</v>
      </c>
      <c r="T720" t="s">
        <v>36</v>
      </c>
      <c r="U720" t="s">
        <v>36</v>
      </c>
      <c r="V720" t="s">
        <v>36</v>
      </c>
      <c r="W720" t="s">
        <v>60</v>
      </c>
      <c r="X720">
        <v>2026</v>
      </c>
      <c r="Y720" t="s">
        <v>128</v>
      </c>
      <c r="Z720" t="s">
        <v>75</v>
      </c>
      <c r="AA720" t="s">
        <v>41</v>
      </c>
    </row>
    <row r="721" spans="1:27" x14ac:dyDescent="0.3">
      <c r="A721" t="s">
        <v>840</v>
      </c>
      <c r="B721" t="s">
        <v>28</v>
      </c>
      <c r="C721">
        <v>31</v>
      </c>
      <c r="D721" t="s">
        <v>54</v>
      </c>
      <c r="E721" t="s">
        <v>153</v>
      </c>
      <c r="F721" t="s">
        <v>56</v>
      </c>
      <c r="G721">
        <v>28284</v>
      </c>
      <c r="H721" s="1">
        <v>44823</v>
      </c>
      <c r="I721" t="s">
        <v>107</v>
      </c>
      <c r="J721" t="s">
        <v>48</v>
      </c>
      <c r="K721" t="s">
        <v>49</v>
      </c>
      <c r="L721">
        <v>0</v>
      </c>
      <c r="M721">
        <v>1</v>
      </c>
      <c r="N721">
        <v>3</v>
      </c>
      <c r="O721" t="s">
        <v>50</v>
      </c>
      <c r="P721" t="s">
        <v>36</v>
      </c>
      <c r="Q721">
        <v>175</v>
      </c>
      <c r="R721">
        <v>79</v>
      </c>
      <c r="S721">
        <v>30</v>
      </c>
      <c r="T721" t="s">
        <v>36</v>
      </c>
      <c r="U721" t="s">
        <v>36</v>
      </c>
      <c r="V721" t="s">
        <v>36</v>
      </c>
      <c r="W721" t="s">
        <v>126</v>
      </c>
      <c r="X721">
        <v>2022</v>
      </c>
      <c r="Y721" t="s">
        <v>51</v>
      </c>
      <c r="Z721" t="s">
        <v>40</v>
      </c>
      <c r="AA721" t="s">
        <v>63</v>
      </c>
    </row>
    <row r="722" spans="1:27" x14ac:dyDescent="0.3">
      <c r="A722" t="s">
        <v>841</v>
      </c>
      <c r="B722" t="s">
        <v>43</v>
      </c>
      <c r="C722">
        <v>34</v>
      </c>
      <c r="D722" t="s">
        <v>85</v>
      </c>
      <c r="E722" t="s">
        <v>151</v>
      </c>
      <c r="F722" t="s">
        <v>46</v>
      </c>
      <c r="G722">
        <v>71651</v>
      </c>
      <c r="H722" s="1">
        <v>44120</v>
      </c>
      <c r="I722" t="s">
        <v>98</v>
      </c>
      <c r="J722" t="s">
        <v>101</v>
      </c>
      <c r="K722" t="s">
        <v>34</v>
      </c>
      <c r="L722">
        <v>13</v>
      </c>
      <c r="M722">
        <v>2</v>
      </c>
      <c r="N722">
        <v>2</v>
      </c>
      <c r="O722" t="s">
        <v>50</v>
      </c>
      <c r="P722" t="s">
        <v>36</v>
      </c>
      <c r="Q722">
        <v>165</v>
      </c>
      <c r="R722">
        <v>36</v>
      </c>
      <c r="S722">
        <v>5</v>
      </c>
      <c r="T722" t="s">
        <v>36</v>
      </c>
      <c r="U722" t="s">
        <v>36</v>
      </c>
      <c r="V722" t="s">
        <v>37</v>
      </c>
      <c r="W722" t="s">
        <v>38</v>
      </c>
      <c r="X722">
        <v>2020</v>
      </c>
      <c r="Y722" t="s">
        <v>83</v>
      </c>
      <c r="Z722" t="s">
        <v>40</v>
      </c>
      <c r="AA722" t="s">
        <v>52</v>
      </c>
    </row>
    <row r="723" spans="1:27" x14ac:dyDescent="0.3">
      <c r="A723" t="s">
        <v>842</v>
      </c>
      <c r="B723" t="s">
        <v>28</v>
      </c>
      <c r="C723">
        <v>21</v>
      </c>
      <c r="D723" t="s">
        <v>89</v>
      </c>
      <c r="E723" t="s">
        <v>203</v>
      </c>
      <c r="F723" t="s">
        <v>56</v>
      </c>
      <c r="G723">
        <v>32443</v>
      </c>
      <c r="H723" s="1">
        <v>45402</v>
      </c>
      <c r="I723" t="s">
        <v>107</v>
      </c>
      <c r="J723" t="s">
        <v>101</v>
      </c>
      <c r="K723" t="s">
        <v>34</v>
      </c>
      <c r="L723">
        <v>3</v>
      </c>
      <c r="M723">
        <v>4</v>
      </c>
      <c r="N723">
        <v>4</v>
      </c>
      <c r="O723" t="s">
        <v>68</v>
      </c>
      <c r="P723" t="s">
        <v>37</v>
      </c>
      <c r="Q723">
        <v>248</v>
      </c>
      <c r="R723">
        <v>62</v>
      </c>
      <c r="S723">
        <v>30</v>
      </c>
      <c r="T723" t="s">
        <v>37</v>
      </c>
      <c r="U723" t="s">
        <v>37</v>
      </c>
      <c r="V723" t="s">
        <v>36</v>
      </c>
      <c r="W723" t="s">
        <v>126</v>
      </c>
      <c r="X723">
        <v>2024</v>
      </c>
      <c r="Y723" t="s">
        <v>69</v>
      </c>
      <c r="Z723" t="s">
        <v>104</v>
      </c>
      <c r="AA723" t="s">
        <v>63</v>
      </c>
    </row>
    <row r="724" spans="1:27" x14ac:dyDescent="0.3">
      <c r="A724" t="s">
        <v>843</v>
      </c>
      <c r="B724" t="s">
        <v>43</v>
      </c>
      <c r="C724">
        <v>22</v>
      </c>
      <c r="D724" t="s">
        <v>65</v>
      </c>
      <c r="E724" t="s">
        <v>120</v>
      </c>
      <c r="F724" t="s">
        <v>46</v>
      </c>
      <c r="G724">
        <v>69514</v>
      </c>
      <c r="H724" s="1">
        <v>44018</v>
      </c>
      <c r="I724" t="s">
        <v>32</v>
      </c>
      <c r="J724" t="s">
        <v>91</v>
      </c>
      <c r="K724" t="s">
        <v>49</v>
      </c>
      <c r="L724">
        <v>7</v>
      </c>
      <c r="M724">
        <v>5</v>
      </c>
      <c r="N724">
        <v>3</v>
      </c>
      <c r="O724" t="s">
        <v>35</v>
      </c>
      <c r="P724" t="s">
        <v>36</v>
      </c>
      <c r="Q724">
        <v>200</v>
      </c>
      <c r="R724">
        <v>50</v>
      </c>
      <c r="S724">
        <v>21</v>
      </c>
      <c r="T724" t="s">
        <v>36</v>
      </c>
      <c r="U724" t="s">
        <v>36</v>
      </c>
      <c r="V724" t="s">
        <v>36</v>
      </c>
      <c r="W724" t="s">
        <v>60</v>
      </c>
      <c r="X724">
        <v>2020</v>
      </c>
      <c r="Y724" t="s">
        <v>79</v>
      </c>
      <c r="Z724" t="s">
        <v>104</v>
      </c>
      <c r="AA724" t="s">
        <v>52</v>
      </c>
    </row>
    <row r="725" spans="1:27" x14ac:dyDescent="0.3">
      <c r="A725" t="s">
        <v>844</v>
      </c>
      <c r="B725" t="s">
        <v>43</v>
      </c>
      <c r="C725">
        <v>37</v>
      </c>
      <c r="D725" t="s">
        <v>85</v>
      </c>
      <c r="E725" t="s">
        <v>151</v>
      </c>
      <c r="F725" t="s">
        <v>46</v>
      </c>
      <c r="G725">
        <v>77584</v>
      </c>
      <c r="H725" s="1">
        <v>44613</v>
      </c>
      <c r="I725" t="s">
        <v>32</v>
      </c>
      <c r="J725" t="s">
        <v>67</v>
      </c>
      <c r="K725" t="s">
        <v>49</v>
      </c>
      <c r="L725">
        <v>13</v>
      </c>
      <c r="M725">
        <v>5</v>
      </c>
      <c r="N725">
        <v>1</v>
      </c>
      <c r="O725" t="s">
        <v>59</v>
      </c>
      <c r="P725" t="s">
        <v>36</v>
      </c>
      <c r="Q725">
        <v>190</v>
      </c>
      <c r="R725">
        <v>60</v>
      </c>
      <c r="S725">
        <v>12</v>
      </c>
      <c r="T725" t="s">
        <v>37</v>
      </c>
      <c r="U725" t="s">
        <v>36</v>
      </c>
      <c r="V725" t="s">
        <v>37</v>
      </c>
      <c r="W725" t="s">
        <v>38</v>
      </c>
      <c r="X725">
        <v>2022</v>
      </c>
      <c r="Y725" t="s">
        <v>39</v>
      </c>
      <c r="Z725" t="s">
        <v>62</v>
      </c>
      <c r="AA725" t="s">
        <v>52</v>
      </c>
    </row>
    <row r="726" spans="1:27" x14ac:dyDescent="0.3">
      <c r="A726" t="s">
        <v>845</v>
      </c>
      <c r="B726" t="s">
        <v>43</v>
      </c>
      <c r="C726">
        <v>33</v>
      </c>
      <c r="D726" t="s">
        <v>89</v>
      </c>
      <c r="E726" t="s">
        <v>203</v>
      </c>
      <c r="F726" t="s">
        <v>46</v>
      </c>
      <c r="G726">
        <v>101128</v>
      </c>
      <c r="H726" s="1">
        <v>44001</v>
      </c>
      <c r="I726" t="s">
        <v>32</v>
      </c>
      <c r="J726" t="s">
        <v>101</v>
      </c>
      <c r="K726" t="s">
        <v>49</v>
      </c>
      <c r="L726">
        <v>5</v>
      </c>
      <c r="M726">
        <v>5</v>
      </c>
      <c r="N726">
        <v>1</v>
      </c>
      <c r="O726" t="s">
        <v>59</v>
      </c>
      <c r="P726" t="s">
        <v>36</v>
      </c>
      <c r="Q726">
        <v>223</v>
      </c>
      <c r="R726">
        <v>9</v>
      </c>
      <c r="S726">
        <v>24</v>
      </c>
      <c r="T726" t="s">
        <v>36</v>
      </c>
      <c r="U726" t="s">
        <v>37</v>
      </c>
      <c r="V726" t="s">
        <v>36</v>
      </c>
      <c r="W726" t="s">
        <v>60</v>
      </c>
      <c r="X726">
        <v>2020</v>
      </c>
      <c r="Y726" t="s">
        <v>61</v>
      </c>
      <c r="Z726" t="s">
        <v>40</v>
      </c>
      <c r="AA726" t="s">
        <v>87</v>
      </c>
    </row>
    <row r="727" spans="1:27" x14ac:dyDescent="0.3">
      <c r="A727" t="s">
        <v>846</v>
      </c>
      <c r="B727" t="s">
        <v>43</v>
      </c>
      <c r="C727">
        <v>30</v>
      </c>
      <c r="D727" t="s">
        <v>65</v>
      </c>
      <c r="E727" t="s">
        <v>66</v>
      </c>
      <c r="F727" t="s">
        <v>96</v>
      </c>
      <c r="G727">
        <v>143371</v>
      </c>
      <c r="H727" s="1">
        <v>44867</v>
      </c>
      <c r="I727" t="s">
        <v>107</v>
      </c>
      <c r="J727" t="s">
        <v>48</v>
      </c>
      <c r="K727" t="s">
        <v>49</v>
      </c>
      <c r="L727">
        <v>19</v>
      </c>
      <c r="M727">
        <v>2</v>
      </c>
      <c r="N727">
        <v>3</v>
      </c>
      <c r="O727" t="s">
        <v>35</v>
      </c>
      <c r="P727" t="s">
        <v>36</v>
      </c>
      <c r="Q727">
        <v>183</v>
      </c>
      <c r="R727">
        <v>45</v>
      </c>
      <c r="S727">
        <v>29</v>
      </c>
      <c r="T727" t="s">
        <v>36</v>
      </c>
      <c r="U727" t="s">
        <v>36</v>
      </c>
      <c r="V727" t="s">
        <v>36</v>
      </c>
      <c r="W727" t="s">
        <v>60</v>
      </c>
      <c r="X727">
        <v>2022</v>
      </c>
      <c r="Y727" t="s">
        <v>123</v>
      </c>
      <c r="Z727" t="s">
        <v>75</v>
      </c>
      <c r="AA727" t="s">
        <v>105</v>
      </c>
    </row>
    <row r="728" spans="1:27" x14ac:dyDescent="0.3">
      <c r="A728" t="s">
        <v>847</v>
      </c>
      <c r="B728" t="s">
        <v>28</v>
      </c>
      <c r="C728">
        <v>32</v>
      </c>
      <c r="D728" t="s">
        <v>85</v>
      </c>
      <c r="E728" t="s">
        <v>86</v>
      </c>
      <c r="F728" t="s">
        <v>31</v>
      </c>
      <c r="G728">
        <v>44438</v>
      </c>
      <c r="H728" s="1">
        <v>44995</v>
      </c>
      <c r="I728" t="s">
        <v>57</v>
      </c>
      <c r="J728" t="s">
        <v>99</v>
      </c>
      <c r="K728" t="s">
        <v>34</v>
      </c>
      <c r="L728">
        <v>3</v>
      </c>
      <c r="M728">
        <v>1</v>
      </c>
      <c r="N728">
        <v>2</v>
      </c>
      <c r="O728" t="s">
        <v>35</v>
      </c>
      <c r="P728" t="s">
        <v>36</v>
      </c>
      <c r="Q728">
        <v>252</v>
      </c>
      <c r="R728">
        <v>48</v>
      </c>
      <c r="S728">
        <v>29</v>
      </c>
      <c r="T728" t="s">
        <v>36</v>
      </c>
      <c r="U728" t="s">
        <v>36</v>
      </c>
      <c r="V728" t="s">
        <v>36</v>
      </c>
      <c r="W728" t="s">
        <v>60</v>
      </c>
      <c r="X728">
        <v>2023</v>
      </c>
      <c r="Y728" t="s">
        <v>142</v>
      </c>
      <c r="Z728" t="s">
        <v>40</v>
      </c>
      <c r="AA728" t="s">
        <v>41</v>
      </c>
    </row>
    <row r="729" spans="1:27" x14ac:dyDescent="0.3">
      <c r="A729" t="s">
        <v>848</v>
      </c>
      <c r="B729" t="s">
        <v>28</v>
      </c>
      <c r="C729">
        <v>34</v>
      </c>
      <c r="D729" t="s">
        <v>89</v>
      </c>
      <c r="E729" t="s">
        <v>144</v>
      </c>
      <c r="F729" t="s">
        <v>56</v>
      </c>
      <c r="G729">
        <v>31996</v>
      </c>
      <c r="H729" s="1">
        <v>44034</v>
      </c>
      <c r="I729" t="s">
        <v>32</v>
      </c>
      <c r="J729" t="s">
        <v>33</v>
      </c>
      <c r="K729" t="s">
        <v>58</v>
      </c>
      <c r="L729">
        <v>0</v>
      </c>
      <c r="M729">
        <v>2</v>
      </c>
      <c r="N729">
        <v>1</v>
      </c>
      <c r="O729" t="s">
        <v>35</v>
      </c>
      <c r="P729" t="s">
        <v>37</v>
      </c>
      <c r="Q729">
        <v>161</v>
      </c>
      <c r="R729">
        <v>54</v>
      </c>
      <c r="S729">
        <v>12</v>
      </c>
      <c r="T729" t="s">
        <v>36</v>
      </c>
      <c r="U729" t="s">
        <v>37</v>
      </c>
      <c r="V729" t="s">
        <v>37</v>
      </c>
      <c r="W729" t="s">
        <v>38</v>
      </c>
      <c r="X729">
        <v>2020</v>
      </c>
      <c r="Y729" t="s">
        <v>79</v>
      </c>
      <c r="Z729" t="s">
        <v>40</v>
      </c>
      <c r="AA729" t="s">
        <v>63</v>
      </c>
    </row>
    <row r="730" spans="1:27" x14ac:dyDescent="0.3">
      <c r="A730" t="s">
        <v>849</v>
      </c>
      <c r="B730" t="s">
        <v>28</v>
      </c>
      <c r="C730">
        <v>28</v>
      </c>
      <c r="D730" t="s">
        <v>89</v>
      </c>
      <c r="E730" t="s">
        <v>90</v>
      </c>
      <c r="F730" t="s">
        <v>96</v>
      </c>
      <c r="G730">
        <v>114387</v>
      </c>
      <c r="H730" s="1">
        <v>44645</v>
      </c>
      <c r="I730" t="s">
        <v>32</v>
      </c>
      <c r="J730" t="s">
        <v>67</v>
      </c>
      <c r="K730" t="s">
        <v>58</v>
      </c>
      <c r="L730">
        <v>15</v>
      </c>
      <c r="M730">
        <v>5</v>
      </c>
      <c r="N730">
        <v>1</v>
      </c>
      <c r="O730" t="s">
        <v>68</v>
      </c>
      <c r="P730" t="s">
        <v>36</v>
      </c>
      <c r="Q730">
        <v>173</v>
      </c>
      <c r="R730">
        <v>20</v>
      </c>
      <c r="S730">
        <v>24</v>
      </c>
      <c r="T730" t="s">
        <v>37</v>
      </c>
      <c r="U730" t="s">
        <v>37</v>
      </c>
      <c r="V730" t="s">
        <v>37</v>
      </c>
      <c r="W730" t="s">
        <v>38</v>
      </c>
      <c r="X730">
        <v>2022</v>
      </c>
      <c r="Y730" t="s">
        <v>142</v>
      </c>
      <c r="Z730" t="s">
        <v>75</v>
      </c>
      <c r="AA730" t="s">
        <v>87</v>
      </c>
    </row>
    <row r="731" spans="1:27" x14ac:dyDescent="0.3">
      <c r="A731" t="s">
        <v>850</v>
      </c>
      <c r="B731" t="s">
        <v>28</v>
      </c>
      <c r="C731">
        <v>26</v>
      </c>
      <c r="D731" t="s">
        <v>85</v>
      </c>
      <c r="E731" t="s">
        <v>151</v>
      </c>
      <c r="F731" t="s">
        <v>31</v>
      </c>
      <c r="G731">
        <v>47322</v>
      </c>
      <c r="H731" s="1">
        <v>46068</v>
      </c>
      <c r="I731" t="s">
        <v>107</v>
      </c>
      <c r="J731" t="s">
        <v>91</v>
      </c>
      <c r="K731" t="s">
        <v>34</v>
      </c>
      <c r="L731">
        <v>5</v>
      </c>
      <c r="M731">
        <v>5</v>
      </c>
      <c r="N731">
        <v>3</v>
      </c>
      <c r="O731" t="s">
        <v>68</v>
      </c>
      <c r="P731" t="s">
        <v>36</v>
      </c>
      <c r="Q731">
        <v>202</v>
      </c>
      <c r="R731">
        <v>72</v>
      </c>
      <c r="S731">
        <v>2</v>
      </c>
      <c r="T731" t="s">
        <v>36</v>
      </c>
      <c r="U731" t="s">
        <v>36</v>
      </c>
      <c r="V731" t="s">
        <v>36</v>
      </c>
      <c r="W731" t="s">
        <v>60</v>
      </c>
      <c r="X731">
        <v>2026</v>
      </c>
      <c r="Y731" t="s">
        <v>39</v>
      </c>
      <c r="Z731" t="s">
        <v>75</v>
      </c>
      <c r="AA731" t="s">
        <v>41</v>
      </c>
    </row>
    <row r="732" spans="1:27" x14ac:dyDescent="0.3">
      <c r="A732" t="s">
        <v>851</v>
      </c>
      <c r="B732" t="s">
        <v>43</v>
      </c>
      <c r="C732">
        <v>33</v>
      </c>
      <c r="D732" t="s">
        <v>85</v>
      </c>
      <c r="E732" t="s">
        <v>86</v>
      </c>
      <c r="F732" t="s">
        <v>56</v>
      </c>
      <c r="G732">
        <v>30057</v>
      </c>
      <c r="H732" s="1">
        <v>44875</v>
      </c>
      <c r="I732" t="s">
        <v>57</v>
      </c>
      <c r="J732" t="s">
        <v>91</v>
      </c>
      <c r="K732" t="s">
        <v>34</v>
      </c>
      <c r="L732">
        <v>3</v>
      </c>
      <c r="M732">
        <v>1</v>
      </c>
      <c r="N732">
        <v>5</v>
      </c>
      <c r="O732" t="s">
        <v>50</v>
      </c>
      <c r="P732" t="s">
        <v>36</v>
      </c>
      <c r="Q732">
        <v>160</v>
      </c>
      <c r="R732">
        <v>13</v>
      </c>
      <c r="S732">
        <v>20</v>
      </c>
      <c r="T732" t="s">
        <v>36</v>
      </c>
      <c r="U732" t="s">
        <v>36</v>
      </c>
      <c r="V732" t="s">
        <v>37</v>
      </c>
      <c r="W732" t="s">
        <v>38</v>
      </c>
      <c r="X732">
        <v>2022</v>
      </c>
      <c r="Y732" t="s">
        <v>123</v>
      </c>
      <c r="Z732" t="s">
        <v>40</v>
      </c>
      <c r="AA732" t="s">
        <v>63</v>
      </c>
    </row>
    <row r="733" spans="1:27" x14ac:dyDescent="0.3">
      <c r="A733" t="s">
        <v>852</v>
      </c>
      <c r="B733" t="s">
        <v>43</v>
      </c>
      <c r="C733">
        <v>25</v>
      </c>
      <c r="D733" t="s">
        <v>89</v>
      </c>
      <c r="E733" t="s">
        <v>144</v>
      </c>
      <c r="F733" t="s">
        <v>96</v>
      </c>
      <c r="G733">
        <v>138554</v>
      </c>
      <c r="H733" s="1">
        <v>44695</v>
      </c>
      <c r="I733" t="s">
        <v>32</v>
      </c>
      <c r="J733" t="s">
        <v>99</v>
      </c>
      <c r="K733" t="s">
        <v>34</v>
      </c>
      <c r="L733">
        <v>15</v>
      </c>
      <c r="M733">
        <v>4</v>
      </c>
      <c r="N733">
        <v>3</v>
      </c>
      <c r="O733" t="s">
        <v>50</v>
      </c>
      <c r="P733" t="s">
        <v>36</v>
      </c>
      <c r="Q733">
        <v>245</v>
      </c>
      <c r="R733">
        <v>57</v>
      </c>
      <c r="S733">
        <v>16</v>
      </c>
      <c r="T733" t="s">
        <v>36</v>
      </c>
      <c r="U733" t="s">
        <v>36</v>
      </c>
      <c r="V733" t="s">
        <v>36</v>
      </c>
      <c r="W733" t="s">
        <v>60</v>
      </c>
      <c r="X733">
        <v>2022</v>
      </c>
      <c r="Y733" t="s">
        <v>74</v>
      </c>
      <c r="Z733" t="s">
        <v>104</v>
      </c>
      <c r="AA733" t="s">
        <v>105</v>
      </c>
    </row>
    <row r="734" spans="1:27" x14ac:dyDescent="0.3">
      <c r="A734" t="s">
        <v>853</v>
      </c>
      <c r="B734" t="s">
        <v>43</v>
      </c>
      <c r="C734">
        <v>34</v>
      </c>
      <c r="D734" t="s">
        <v>89</v>
      </c>
      <c r="E734" t="s">
        <v>130</v>
      </c>
      <c r="F734" t="s">
        <v>96</v>
      </c>
      <c r="G734">
        <v>110012</v>
      </c>
      <c r="H734" s="1">
        <v>45045</v>
      </c>
      <c r="I734" t="s">
        <v>32</v>
      </c>
      <c r="J734" t="s">
        <v>118</v>
      </c>
      <c r="K734" t="s">
        <v>49</v>
      </c>
      <c r="L734">
        <v>10</v>
      </c>
      <c r="M734">
        <v>4</v>
      </c>
      <c r="N734">
        <v>1</v>
      </c>
      <c r="O734" t="s">
        <v>35</v>
      </c>
      <c r="P734" t="s">
        <v>37</v>
      </c>
      <c r="Q734">
        <v>250</v>
      </c>
      <c r="R734">
        <v>60</v>
      </c>
      <c r="S734">
        <v>27</v>
      </c>
      <c r="T734" t="s">
        <v>36</v>
      </c>
      <c r="U734" t="s">
        <v>36</v>
      </c>
      <c r="V734" t="s">
        <v>36</v>
      </c>
      <c r="W734" t="s">
        <v>60</v>
      </c>
      <c r="X734">
        <v>2023</v>
      </c>
      <c r="Y734" t="s">
        <v>69</v>
      </c>
      <c r="Z734" t="s">
        <v>40</v>
      </c>
      <c r="AA734" t="s">
        <v>87</v>
      </c>
    </row>
    <row r="735" spans="1:27" x14ac:dyDescent="0.3">
      <c r="A735" t="s">
        <v>854</v>
      </c>
      <c r="B735" t="s">
        <v>28</v>
      </c>
      <c r="C735">
        <v>21</v>
      </c>
      <c r="D735" t="s">
        <v>85</v>
      </c>
      <c r="E735" t="s">
        <v>168</v>
      </c>
      <c r="F735" t="s">
        <v>56</v>
      </c>
      <c r="G735">
        <v>28537</v>
      </c>
      <c r="H735" s="1">
        <v>45400</v>
      </c>
      <c r="I735" t="s">
        <v>32</v>
      </c>
      <c r="J735" t="s">
        <v>67</v>
      </c>
      <c r="K735" t="s">
        <v>34</v>
      </c>
      <c r="L735">
        <v>3</v>
      </c>
      <c r="M735">
        <v>2</v>
      </c>
      <c r="N735">
        <v>3</v>
      </c>
      <c r="O735" t="s">
        <v>50</v>
      </c>
      <c r="P735" t="s">
        <v>36</v>
      </c>
      <c r="Q735">
        <v>175</v>
      </c>
      <c r="R735">
        <v>34</v>
      </c>
      <c r="S735">
        <v>8</v>
      </c>
      <c r="T735" t="s">
        <v>36</v>
      </c>
      <c r="U735" t="s">
        <v>37</v>
      </c>
      <c r="V735" t="s">
        <v>36</v>
      </c>
      <c r="W735" t="s">
        <v>126</v>
      </c>
      <c r="X735">
        <v>2024</v>
      </c>
      <c r="Y735" t="s">
        <v>69</v>
      </c>
      <c r="Z735" t="s">
        <v>104</v>
      </c>
      <c r="AA735" t="s">
        <v>63</v>
      </c>
    </row>
    <row r="736" spans="1:27" x14ac:dyDescent="0.3">
      <c r="A736" t="s">
        <v>855</v>
      </c>
      <c r="B736" t="s">
        <v>43</v>
      </c>
      <c r="C736">
        <v>39</v>
      </c>
      <c r="D736" t="s">
        <v>77</v>
      </c>
      <c r="E736" t="s">
        <v>138</v>
      </c>
      <c r="F736" t="s">
        <v>96</v>
      </c>
      <c r="G736">
        <v>97832</v>
      </c>
      <c r="H736" s="1">
        <v>43900</v>
      </c>
      <c r="I736" t="s">
        <v>98</v>
      </c>
      <c r="J736" t="s">
        <v>101</v>
      </c>
      <c r="K736" t="s">
        <v>58</v>
      </c>
      <c r="L736">
        <v>13</v>
      </c>
      <c r="M736">
        <v>1</v>
      </c>
      <c r="N736">
        <v>3</v>
      </c>
      <c r="O736" t="s">
        <v>59</v>
      </c>
      <c r="P736" t="s">
        <v>36</v>
      </c>
      <c r="Q736">
        <v>211</v>
      </c>
      <c r="R736">
        <v>67</v>
      </c>
      <c r="S736">
        <v>2</v>
      </c>
      <c r="T736" t="s">
        <v>36</v>
      </c>
      <c r="U736" t="s">
        <v>36</v>
      </c>
      <c r="V736" t="s">
        <v>37</v>
      </c>
      <c r="W736" t="s">
        <v>38</v>
      </c>
      <c r="X736">
        <v>2020</v>
      </c>
      <c r="Y736" t="s">
        <v>142</v>
      </c>
      <c r="Z736" t="s">
        <v>62</v>
      </c>
      <c r="AA736" t="s">
        <v>87</v>
      </c>
    </row>
    <row r="737" spans="1:27" x14ac:dyDescent="0.3">
      <c r="A737" t="s">
        <v>856</v>
      </c>
      <c r="B737" t="s">
        <v>28</v>
      </c>
      <c r="C737">
        <v>35</v>
      </c>
      <c r="D737" t="s">
        <v>65</v>
      </c>
      <c r="E737" t="s">
        <v>66</v>
      </c>
      <c r="F737" t="s">
        <v>96</v>
      </c>
      <c r="G737">
        <v>105970</v>
      </c>
      <c r="H737" s="1">
        <v>43996</v>
      </c>
      <c r="I737" t="s">
        <v>32</v>
      </c>
      <c r="J737" t="s">
        <v>91</v>
      </c>
      <c r="K737" t="s">
        <v>34</v>
      </c>
      <c r="L737">
        <v>17</v>
      </c>
      <c r="M737">
        <v>5</v>
      </c>
      <c r="N737">
        <v>3</v>
      </c>
      <c r="O737" t="s">
        <v>59</v>
      </c>
      <c r="P737" t="s">
        <v>36</v>
      </c>
      <c r="Q737">
        <v>242</v>
      </c>
      <c r="R737">
        <v>13</v>
      </c>
      <c r="S737">
        <v>2</v>
      </c>
      <c r="T737" t="s">
        <v>36</v>
      </c>
      <c r="U737" t="s">
        <v>36</v>
      </c>
      <c r="V737" t="s">
        <v>36</v>
      </c>
      <c r="W737" t="s">
        <v>60</v>
      </c>
      <c r="X737">
        <v>2020</v>
      </c>
      <c r="Y737" t="s">
        <v>61</v>
      </c>
      <c r="Z737" t="s">
        <v>40</v>
      </c>
      <c r="AA737" t="s">
        <v>87</v>
      </c>
    </row>
    <row r="738" spans="1:27" x14ac:dyDescent="0.3">
      <c r="A738" t="s">
        <v>857</v>
      </c>
      <c r="B738" t="s">
        <v>43</v>
      </c>
      <c r="C738">
        <v>33</v>
      </c>
      <c r="D738" t="s">
        <v>44</v>
      </c>
      <c r="E738" t="s">
        <v>115</v>
      </c>
      <c r="F738" t="s">
        <v>46</v>
      </c>
      <c r="G738">
        <v>80298</v>
      </c>
      <c r="H738" s="1">
        <v>46062</v>
      </c>
      <c r="I738" t="s">
        <v>32</v>
      </c>
      <c r="J738" t="s">
        <v>91</v>
      </c>
      <c r="K738" t="s">
        <v>34</v>
      </c>
      <c r="L738">
        <v>10</v>
      </c>
      <c r="M738">
        <v>4</v>
      </c>
      <c r="N738">
        <v>3</v>
      </c>
      <c r="O738" t="s">
        <v>68</v>
      </c>
      <c r="P738" t="s">
        <v>36</v>
      </c>
      <c r="Q738">
        <v>193</v>
      </c>
      <c r="R738">
        <v>80</v>
      </c>
      <c r="S738">
        <v>21</v>
      </c>
      <c r="T738" t="s">
        <v>37</v>
      </c>
      <c r="U738" t="s">
        <v>36</v>
      </c>
      <c r="V738" t="s">
        <v>36</v>
      </c>
      <c r="W738" t="s">
        <v>60</v>
      </c>
      <c r="X738">
        <v>2026</v>
      </c>
      <c r="Y738" t="s">
        <v>39</v>
      </c>
      <c r="Z738" t="s">
        <v>40</v>
      </c>
      <c r="AA738" t="s">
        <v>52</v>
      </c>
    </row>
    <row r="739" spans="1:27" x14ac:dyDescent="0.3">
      <c r="A739" t="s">
        <v>858</v>
      </c>
      <c r="B739" t="s">
        <v>43</v>
      </c>
      <c r="C739">
        <v>38</v>
      </c>
      <c r="D739" t="s">
        <v>89</v>
      </c>
      <c r="E739" t="s">
        <v>203</v>
      </c>
      <c r="F739" t="s">
        <v>46</v>
      </c>
      <c r="G739">
        <v>98486</v>
      </c>
      <c r="H739" s="1">
        <v>45039</v>
      </c>
      <c r="I739" t="s">
        <v>107</v>
      </c>
      <c r="J739" t="s">
        <v>48</v>
      </c>
      <c r="K739" t="s">
        <v>49</v>
      </c>
      <c r="L739">
        <v>6</v>
      </c>
      <c r="M739">
        <v>2</v>
      </c>
      <c r="N739">
        <v>5</v>
      </c>
      <c r="O739" t="s">
        <v>59</v>
      </c>
      <c r="P739" t="s">
        <v>36</v>
      </c>
      <c r="Q739">
        <v>160</v>
      </c>
      <c r="R739">
        <v>29</v>
      </c>
      <c r="S739">
        <v>27</v>
      </c>
      <c r="T739" t="s">
        <v>36</v>
      </c>
      <c r="U739" t="s">
        <v>36</v>
      </c>
      <c r="V739" t="s">
        <v>36</v>
      </c>
      <c r="W739" t="s">
        <v>60</v>
      </c>
      <c r="X739">
        <v>2023</v>
      </c>
      <c r="Y739" t="s">
        <v>69</v>
      </c>
      <c r="Z739" t="s">
        <v>62</v>
      </c>
      <c r="AA739" t="s">
        <v>87</v>
      </c>
    </row>
    <row r="740" spans="1:27" x14ac:dyDescent="0.3">
      <c r="A740" t="s">
        <v>859</v>
      </c>
      <c r="B740" t="s">
        <v>43</v>
      </c>
      <c r="C740">
        <v>43</v>
      </c>
      <c r="D740" t="s">
        <v>29</v>
      </c>
      <c r="E740" t="s">
        <v>122</v>
      </c>
      <c r="F740" t="s">
        <v>31</v>
      </c>
      <c r="G740">
        <v>49318</v>
      </c>
      <c r="H740" s="1">
        <v>43478</v>
      </c>
      <c r="I740" t="s">
        <v>107</v>
      </c>
      <c r="J740" t="s">
        <v>101</v>
      </c>
      <c r="K740" t="s">
        <v>49</v>
      </c>
      <c r="L740">
        <v>7</v>
      </c>
      <c r="M740">
        <v>3</v>
      </c>
      <c r="N740">
        <v>3</v>
      </c>
      <c r="O740" t="s">
        <v>68</v>
      </c>
      <c r="P740" t="s">
        <v>36</v>
      </c>
      <c r="Q740">
        <v>211</v>
      </c>
      <c r="R740">
        <v>29</v>
      </c>
      <c r="S740">
        <v>21</v>
      </c>
      <c r="T740" t="s">
        <v>36</v>
      </c>
      <c r="U740" t="s">
        <v>36</v>
      </c>
      <c r="V740" t="s">
        <v>36</v>
      </c>
      <c r="W740" t="s">
        <v>60</v>
      </c>
      <c r="X740">
        <v>2019</v>
      </c>
      <c r="Y740" t="s">
        <v>94</v>
      </c>
      <c r="Z740" t="s">
        <v>70</v>
      </c>
      <c r="AA740" t="s">
        <v>41</v>
      </c>
    </row>
    <row r="741" spans="1:27" x14ac:dyDescent="0.3">
      <c r="A741" t="s">
        <v>860</v>
      </c>
      <c r="B741" t="s">
        <v>43</v>
      </c>
      <c r="C741">
        <v>39</v>
      </c>
      <c r="D741" t="s">
        <v>29</v>
      </c>
      <c r="E741" t="s">
        <v>93</v>
      </c>
      <c r="F741" t="s">
        <v>46</v>
      </c>
      <c r="G741">
        <v>81267</v>
      </c>
      <c r="H741" s="1">
        <v>45198</v>
      </c>
      <c r="I741" t="s">
        <v>57</v>
      </c>
      <c r="J741" t="s">
        <v>118</v>
      </c>
      <c r="K741" t="s">
        <v>58</v>
      </c>
      <c r="L741">
        <v>11</v>
      </c>
      <c r="M741">
        <v>1</v>
      </c>
      <c r="N741">
        <v>3</v>
      </c>
      <c r="O741" t="s">
        <v>50</v>
      </c>
      <c r="P741" t="s">
        <v>36</v>
      </c>
      <c r="Q741">
        <v>176</v>
      </c>
      <c r="R741">
        <v>64</v>
      </c>
      <c r="S741">
        <v>26</v>
      </c>
      <c r="T741" t="s">
        <v>37</v>
      </c>
      <c r="U741" t="s">
        <v>36</v>
      </c>
      <c r="V741" t="s">
        <v>36</v>
      </c>
      <c r="W741" t="s">
        <v>126</v>
      </c>
      <c r="X741">
        <v>2023</v>
      </c>
      <c r="Y741" t="s">
        <v>51</v>
      </c>
      <c r="Z741" t="s">
        <v>62</v>
      </c>
      <c r="AA741" t="s">
        <v>52</v>
      </c>
    </row>
    <row r="742" spans="1:27" x14ac:dyDescent="0.3">
      <c r="A742" t="s">
        <v>861</v>
      </c>
      <c r="B742" t="s">
        <v>43</v>
      </c>
      <c r="C742">
        <v>21</v>
      </c>
      <c r="D742" t="s">
        <v>85</v>
      </c>
      <c r="E742" t="s">
        <v>159</v>
      </c>
      <c r="F742" t="s">
        <v>46</v>
      </c>
      <c r="G742">
        <v>72061</v>
      </c>
      <c r="H742" s="1">
        <v>45333</v>
      </c>
      <c r="I742" t="s">
        <v>98</v>
      </c>
      <c r="J742" t="s">
        <v>73</v>
      </c>
      <c r="K742" t="s">
        <v>49</v>
      </c>
      <c r="L742">
        <v>9</v>
      </c>
      <c r="M742">
        <v>3</v>
      </c>
      <c r="N742">
        <v>2</v>
      </c>
      <c r="O742" t="s">
        <v>35</v>
      </c>
      <c r="P742" t="s">
        <v>36</v>
      </c>
      <c r="Q742">
        <v>227</v>
      </c>
      <c r="R742">
        <v>20</v>
      </c>
      <c r="S742">
        <v>3</v>
      </c>
      <c r="T742" t="s">
        <v>36</v>
      </c>
      <c r="U742" t="s">
        <v>36</v>
      </c>
      <c r="V742" t="s">
        <v>36</v>
      </c>
      <c r="W742" t="s">
        <v>126</v>
      </c>
      <c r="X742">
        <v>2024</v>
      </c>
      <c r="Y742" t="s">
        <v>39</v>
      </c>
      <c r="Z742" t="s">
        <v>104</v>
      </c>
      <c r="AA742" t="s">
        <v>52</v>
      </c>
    </row>
    <row r="743" spans="1:27" x14ac:dyDescent="0.3">
      <c r="A743" t="s">
        <v>862</v>
      </c>
      <c r="B743" t="s">
        <v>43</v>
      </c>
      <c r="C743">
        <v>23</v>
      </c>
      <c r="D743" t="s">
        <v>85</v>
      </c>
      <c r="E743" t="s">
        <v>151</v>
      </c>
      <c r="F743" t="s">
        <v>96</v>
      </c>
      <c r="G743">
        <v>93337</v>
      </c>
      <c r="H743" s="1">
        <v>45244</v>
      </c>
      <c r="I743" t="s">
        <v>107</v>
      </c>
      <c r="J743" t="s">
        <v>99</v>
      </c>
      <c r="K743" t="s">
        <v>34</v>
      </c>
      <c r="L743">
        <v>18</v>
      </c>
      <c r="M743">
        <v>3</v>
      </c>
      <c r="N743">
        <v>4</v>
      </c>
      <c r="O743" t="s">
        <v>35</v>
      </c>
      <c r="P743" t="s">
        <v>37</v>
      </c>
      <c r="Q743">
        <v>191</v>
      </c>
      <c r="R743">
        <v>21</v>
      </c>
      <c r="S743">
        <v>17</v>
      </c>
      <c r="T743" t="s">
        <v>37</v>
      </c>
      <c r="U743" t="s">
        <v>37</v>
      </c>
      <c r="V743" t="s">
        <v>36</v>
      </c>
      <c r="W743" t="s">
        <v>60</v>
      </c>
      <c r="X743">
        <v>2023</v>
      </c>
      <c r="Y743" t="s">
        <v>123</v>
      </c>
      <c r="Z743" t="s">
        <v>104</v>
      </c>
      <c r="AA743" t="s">
        <v>87</v>
      </c>
    </row>
    <row r="744" spans="1:27" x14ac:dyDescent="0.3">
      <c r="A744" t="s">
        <v>863</v>
      </c>
      <c r="B744" t="s">
        <v>28</v>
      </c>
      <c r="C744">
        <v>27</v>
      </c>
      <c r="D744" t="s">
        <v>85</v>
      </c>
      <c r="E744" t="s">
        <v>86</v>
      </c>
      <c r="F744" t="s">
        <v>31</v>
      </c>
      <c r="G744">
        <v>65391</v>
      </c>
      <c r="H744" s="1">
        <v>43842</v>
      </c>
      <c r="I744" t="s">
        <v>57</v>
      </c>
      <c r="J744" t="s">
        <v>101</v>
      </c>
      <c r="K744" t="s">
        <v>49</v>
      </c>
      <c r="L744">
        <v>3</v>
      </c>
      <c r="M744">
        <v>3</v>
      </c>
      <c r="N744">
        <v>3</v>
      </c>
      <c r="O744" t="s">
        <v>35</v>
      </c>
      <c r="P744" t="s">
        <v>36</v>
      </c>
      <c r="Q744">
        <v>160</v>
      </c>
      <c r="R744">
        <v>72</v>
      </c>
      <c r="S744">
        <v>15</v>
      </c>
      <c r="T744" t="s">
        <v>36</v>
      </c>
      <c r="U744" t="s">
        <v>36</v>
      </c>
      <c r="V744" t="s">
        <v>36</v>
      </c>
      <c r="W744" t="s">
        <v>126</v>
      </c>
      <c r="X744">
        <v>2020</v>
      </c>
      <c r="Y744" t="s">
        <v>94</v>
      </c>
      <c r="Z744" t="s">
        <v>75</v>
      </c>
      <c r="AA744" t="s">
        <v>52</v>
      </c>
    </row>
    <row r="745" spans="1:27" x14ac:dyDescent="0.3">
      <c r="A745" t="s">
        <v>864</v>
      </c>
      <c r="B745" t="s">
        <v>28</v>
      </c>
      <c r="C745">
        <v>32</v>
      </c>
      <c r="D745" t="s">
        <v>54</v>
      </c>
      <c r="E745" t="s">
        <v>111</v>
      </c>
      <c r="F745" t="s">
        <v>96</v>
      </c>
      <c r="G745">
        <v>110848</v>
      </c>
      <c r="H745" s="1">
        <v>44534</v>
      </c>
      <c r="I745" t="s">
        <v>32</v>
      </c>
      <c r="J745" t="s">
        <v>101</v>
      </c>
      <c r="K745" t="s">
        <v>58</v>
      </c>
      <c r="L745">
        <v>9</v>
      </c>
      <c r="M745">
        <v>2</v>
      </c>
      <c r="N745">
        <v>2</v>
      </c>
      <c r="O745" t="s">
        <v>35</v>
      </c>
      <c r="P745" t="s">
        <v>37</v>
      </c>
      <c r="Q745">
        <v>232</v>
      </c>
      <c r="R745">
        <v>33</v>
      </c>
      <c r="S745">
        <v>26</v>
      </c>
      <c r="T745" t="s">
        <v>37</v>
      </c>
      <c r="U745" t="s">
        <v>37</v>
      </c>
      <c r="V745" t="s">
        <v>37</v>
      </c>
      <c r="W745" t="s">
        <v>38</v>
      </c>
      <c r="X745">
        <v>2021</v>
      </c>
      <c r="Y745" t="s">
        <v>116</v>
      </c>
      <c r="Z745" t="s">
        <v>40</v>
      </c>
      <c r="AA745" t="s">
        <v>87</v>
      </c>
    </row>
    <row r="746" spans="1:27" x14ac:dyDescent="0.3">
      <c r="A746" t="s">
        <v>865</v>
      </c>
      <c r="B746" t="s">
        <v>28</v>
      </c>
      <c r="C746">
        <v>35</v>
      </c>
      <c r="D746" t="s">
        <v>85</v>
      </c>
      <c r="E746" t="s">
        <v>151</v>
      </c>
      <c r="F746" t="s">
        <v>46</v>
      </c>
      <c r="G746">
        <v>90396</v>
      </c>
      <c r="H746" s="1">
        <v>43544</v>
      </c>
      <c r="I746" t="s">
        <v>57</v>
      </c>
      <c r="J746" t="s">
        <v>33</v>
      </c>
      <c r="K746" t="s">
        <v>34</v>
      </c>
      <c r="L746">
        <v>11</v>
      </c>
      <c r="M746">
        <v>5</v>
      </c>
      <c r="N746">
        <v>3</v>
      </c>
      <c r="O746" t="s">
        <v>35</v>
      </c>
      <c r="P746" t="s">
        <v>36</v>
      </c>
      <c r="Q746">
        <v>153</v>
      </c>
      <c r="R746">
        <v>31</v>
      </c>
      <c r="S746">
        <v>9</v>
      </c>
      <c r="T746" t="s">
        <v>36</v>
      </c>
      <c r="U746" t="s">
        <v>36</v>
      </c>
      <c r="V746" t="s">
        <v>36</v>
      </c>
      <c r="W746" t="s">
        <v>126</v>
      </c>
      <c r="X746">
        <v>2019</v>
      </c>
      <c r="Y746" t="s">
        <v>142</v>
      </c>
      <c r="Z746" t="s">
        <v>40</v>
      </c>
      <c r="AA746" t="s">
        <v>87</v>
      </c>
    </row>
    <row r="747" spans="1:27" x14ac:dyDescent="0.3">
      <c r="A747" t="s">
        <v>866</v>
      </c>
      <c r="B747" t="s">
        <v>28</v>
      </c>
      <c r="C747">
        <v>26</v>
      </c>
      <c r="D747" t="s">
        <v>65</v>
      </c>
      <c r="E747" t="s">
        <v>120</v>
      </c>
      <c r="F747" t="s">
        <v>46</v>
      </c>
      <c r="G747">
        <v>98367</v>
      </c>
      <c r="H747" s="1">
        <v>45092</v>
      </c>
      <c r="I747" t="s">
        <v>107</v>
      </c>
      <c r="J747" t="s">
        <v>118</v>
      </c>
      <c r="K747" t="s">
        <v>58</v>
      </c>
      <c r="L747">
        <v>7</v>
      </c>
      <c r="M747">
        <v>2</v>
      </c>
      <c r="N747">
        <v>2</v>
      </c>
      <c r="O747" t="s">
        <v>68</v>
      </c>
      <c r="P747" t="s">
        <v>36</v>
      </c>
      <c r="Q747">
        <v>150</v>
      </c>
      <c r="R747">
        <v>37</v>
      </c>
      <c r="S747">
        <v>12</v>
      </c>
      <c r="T747" t="s">
        <v>37</v>
      </c>
      <c r="U747" t="s">
        <v>36</v>
      </c>
      <c r="V747" t="s">
        <v>36</v>
      </c>
      <c r="W747" t="s">
        <v>60</v>
      </c>
      <c r="X747">
        <v>2023</v>
      </c>
      <c r="Y747" t="s">
        <v>61</v>
      </c>
      <c r="Z747" t="s">
        <v>75</v>
      </c>
      <c r="AA747" t="s">
        <v>87</v>
      </c>
    </row>
    <row r="748" spans="1:27" x14ac:dyDescent="0.3">
      <c r="A748" t="s">
        <v>867</v>
      </c>
      <c r="B748" t="s">
        <v>43</v>
      </c>
      <c r="C748">
        <v>33</v>
      </c>
      <c r="D748" t="s">
        <v>77</v>
      </c>
      <c r="E748" t="s">
        <v>182</v>
      </c>
      <c r="F748" t="s">
        <v>46</v>
      </c>
      <c r="G748">
        <v>94599</v>
      </c>
      <c r="H748" s="1">
        <v>45290</v>
      </c>
      <c r="I748" t="s">
        <v>47</v>
      </c>
      <c r="J748" t="s">
        <v>48</v>
      </c>
      <c r="K748" t="s">
        <v>34</v>
      </c>
      <c r="L748">
        <v>5</v>
      </c>
      <c r="M748">
        <v>5</v>
      </c>
      <c r="N748">
        <v>5</v>
      </c>
      <c r="O748" t="s">
        <v>68</v>
      </c>
      <c r="P748" t="s">
        <v>36</v>
      </c>
      <c r="Q748">
        <v>176</v>
      </c>
      <c r="R748">
        <v>30</v>
      </c>
      <c r="S748">
        <v>26</v>
      </c>
      <c r="T748" t="s">
        <v>36</v>
      </c>
      <c r="U748" t="s">
        <v>36</v>
      </c>
      <c r="V748" t="s">
        <v>36</v>
      </c>
      <c r="W748" t="s">
        <v>60</v>
      </c>
      <c r="X748">
        <v>2023</v>
      </c>
      <c r="Y748" t="s">
        <v>116</v>
      </c>
      <c r="Z748" t="s">
        <v>40</v>
      </c>
      <c r="AA748" t="s">
        <v>87</v>
      </c>
    </row>
    <row r="749" spans="1:27" x14ac:dyDescent="0.3">
      <c r="A749" t="s">
        <v>868</v>
      </c>
      <c r="B749" t="s">
        <v>28</v>
      </c>
      <c r="C749">
        <v>26</v>
      </c>
      <c r="D749" t="s">
        <v>81</v>
      </c>
      <c r="E749" t="s">
        <v>82</v>
      </c>
      <c r="F749" t="s">
        <v>96</v>
      </c>
      <c r="G749">
        <v>97126</v>
      </c>
      <c r="H749" s="1">
        <v>46030</v>
      </c>
      <c r="I749" t="s">
        <v>32</v>
      </c>
      <c r="J749" t="s">
        <v>73</v>
      </c>
      <c r="K749" t="s">
        <v>49</v>
      </c>
      <c r="L749">
        <v>18</v>
      </c>
      <c r="M749">
        <v>2</v>
      </c>
      <c r="N749">
        <v>5</v>
      </c>
      <c r="O749" t="s">
        <v>68</v>
      </c>
      <c r="P749" t="s">
        <v>36</v>
      </c>
      <c r="Q749">
        <v>177</v>
      </c>
      <c r="R749">
        <v>68</v>
      </c>
      <c r="S749">
        <v>25</v>
      </c>
      <c r="T749" t="s">
        <v>36</v>
      </c>
      <c r="U749" t="s">
        <v>37</v>
      </c>
      <c r="V749" t="s">
        <v>36</v>
      </c>
      <c r="W749" t="s">
        <v>60</v>
      </c>
      <c r="X749">
        <v>2026</v>
      </c>
      <c r="Y749" t="s">
        <v>94</v>
      </c>
      <c r="Z749" t="s">
        <v>75</v>
      </c>
      <c r="AA749" t="s">
        <v>87</v>
      </c>
    </row>
    <row r="750" spans="1:27" x14ac:dyDescent="0.3">
      <c r="A750" t="s">
        <v>869</v>
      </c>
      <c r="B750" t="s">
        <v>43</v>
      </c>
      <c r="C750">
        <v>27</v>
      </c>
      <c r="D750" t="s">
        <v>77</v>
      </c>
      <c r="E750" t="s">
        <v>138</v>
      </c>
      <c r="F750" t="s">
        <v>96</v>
      </c>
      <c r="G750">
        <v>152937</v>
      </c>
      <c r="H750" s="1">
        <v>45910</v>
      </c>
      <c r="I750" t="s">
        <v>57</v>
      </c>
      <c r="J750" t="s">
        <v>99</v>
      </c>
      <c r="K750" t="s">
        <v>58</v>
      </c>
      <c r="L750">
        <v>16</v>
      </c>
      <c r="M750">
        <v>3</v>
      </c>
      <c r="N750">
        <v>2</v>
      </c>
      <c r="O750" t="s">
        <v>50</v>
      </c>
      <c r="P750" t="s">
        <v>37</v>
      </c>
      <c r="Q750">
        <v>228</v>
      </c>
      <c r="R750">
        <v>5</v>
      </c>
      <c r="S750">
        <v>11</v>
      </c>
      <c r="T750" t="s">
        <v>36</v>
      </c>
      <c r="U750" t="s">
        <v>37</v>
      </c>
      <c r="V750" t="s">
        <v>36</v>
      </c>
      <c r="W750" t="s">
        <v>126</v>
      </c>
      <c r="X750">
        <v>2025</v>
      </c>
      <c r="Y750" t="s">
        <v>51</v>
      </c>
      <c r="Z750" t="s">
        <v>75</v>
      </c>
      <c r="AA750" t="s">
        <v>105</v>
      </c>
    </row>
    <row r="751" spans="1:27" x14ac:dyDescent="0.3">
      <c r="A751" t="s">
        <v>870</v>
      </c>
      <c r="B751" t="s">
        <v>28</v>
      </c>
      <c r="C751">
        <v>22</v>
      </c>
      <c r="D751" t="s">
        <v>54</v>
      </c>
      <c r="E751" t="s">
        <v>153</v>
      </c>
      <c r="F751" t="s">
        <v>46</v>
      </c>
      <c r="G751">
        <v>79110</v>
      </c>
      <c r="H751" s="1">
        <v>45199</v>
      </c>
      <c r="I751" t="s">
        <v>57</v>
      </c>
      <c r="J751" t="s">
        <v>48</v>
      </c>
      <c r="K751" t="s">
        <v>49</v>
      </c>
      <c r="L751">
        <v>8</v>
      </c>
      <c r="M751">
        <v>3</v>
      </c>
      <c r="N751">
        <v>1</v>
      </c>
      <c r="O751" t="s">
        <v>68</v>
      </c>
      <c r="P751" t="s">
        <v>36</v>
      </c>
      <c r="Q751">
        <v>203</v>
      </c>
      <c r="R751">
        <v>38</v>
      </c>
      <c r="S751">
        <v>16</v>
      </c>
      <c r="T751" t="s">
        <v>37</v>
      </c>
      <c r="U751" t="s">
        <v>37</v>
      </c>
      <c r="V751" t="s">
        <v>36</v>
      </c>
      <c r="W751" t="s">
        <v>60</v>
      </c>
      <c r="X751">
        <v>2023</v>
      </c>
      <c r="Y751" t="s">
        <v>51</v>
      </c>
      <c r="Z751" t="s">
        <v>104</v>
      </c>
      <c r="AA751" t="s">
        <v>52</v>
      </c>
    </row>
    <row r="752" spans="1:27" x14ac:dyDescent="0.3">
      <c r="A752" t="s">
        <v>871</v>
      </c>
      <c r="B752" t="s">
        <v>28</v>
      </c>
      <c r="C752">
        <v>25</v>
      </c>
      <c r="D752" t="s">
        <v>89</v>
      </c>
      <c r="E752" t="s">
        <v>90</v>
      </c>
      <c r="F752" t="s">
        <v>56</v>
      </c>
      <c r="G752">
        <v>31689</v>
      </c>
      <c r="H752" s="1">
        <v>44427</v>
      </c>
      <c r="I752" t="s">
        <v>98</v>
      </c>
      <c r="J752" t="s">
        <v>101</v>
      </c>
      <c r="K752" t="s">
        <v>58</v>
      </c>
      <c r="L752">
        <v>0</v>
      </c>
      <c r="M752">
        <v>4</v>
      </c>
      <c r="N752">
        <v>5</v>
      </c>
      <c r="O752" t="s">
        <v>68</v>
      </c>
      <c r="P752" t="s">
        <v>36</v>
      </c>
      <c r="Q752">
        <v>221</v>
      </c>
      <c r="R752">
        <v>32</v>
      </c>
      <c r="S752">
        <v>4</v>
      </c>
      <c r="T752" t="s">
        <v>36</v>
      </c>
      <c r="U752" t="s">
        <v>36</v>
      </c>
      <c r="V752" t="s">
        <v>36</v>
      </c>
      <c r="W752" t="s">
        <v>126</v>
      </c>
      <c r="X752">
        <v>2021</v>
      </c>
      <c r="Y752" t="s">
        <v>128</v>
      </c>
      <c r="Z752" t="s">
        <v>104</v>
      </c>
      <c r="AA752" t="s">
        <v>63</v>
      </c>
    </row>
    <row r="753" spans="1:27" x14ac:dyDescent="0.3">
      <c r="A753" t="s">
        <v>872</v>
      </c>
      <c r="B753" t="s">
        <v>28</v>
      </c>
      <c r="C753">
        <v>22</v>
      </c>
      <c r="D753" t="s">
        <v>29</v>
      </c>
      <c r="E753" t="s">
        <v>122</v>
      </c>
      <c r="F753" t="s">
        <v>96</v>
      </c>
      <c r="G753">
        <v>151040</v>
      </c>
      <c r="H753" s="1">
        <v>44182</v>
      </c>
      <c r="I753" t="s">
        <v>107</v>
      </c>
      <c r="J753" t="s">
        <v>67</v>
      </c>
      <c r="K753" t="s">
        <v>34</v>
      </c>
      <c r="L753">
        <v>14</v>
      </c>
      <c r="M753">
        <v>1</v>
      </c>
      <c r="N753">
        <v>5</v>
      </c>
      <c r="O753" t="s">
        <v>59</v>
      </c>
      <c r="P753" t="s">
        <v>37</v>
      </c>
      <c r="Q753">
        <v>234</v>
      </c>
      <c r="R753">
        <v>30</v>
      </c>
      <c r="S753">
        <v>27</v>
      </c>
      <c r="T753" t="s">
        <v>36</v>
      </c>
      <c r="U753" t="s">
        <v>37</v>
      </c>
      <c r="V753" t="s">
        <v>36</v>
      </c>
      <c r="W753" t="s">
        <v>60</v>
      </c>
      <c r="X753">
        <v>2020</v>
      </c>
      <c r="Y753" t="s">
        <v>116</v>
      </c>
      <c r="Z753" t="s">
        <v>104</v>
      </c>
      <c r="AA753" t="s">
        <v>105</v>
      </c>
    </row>
    <row r="754" spans="1:27" x14ac:dyDescent="0.3">
      <c r="A754" t="s">
        <v>873</v>
      </c>
      <c r="B754" t="s">
        <v>43</v>
      </c>
      <c r="C754">
        <v>25</v>
      </c>
      <c r="D754" t="s">
        <v>44</v>
      </c>
      <c r="E754" t="s">
        <v>115</v>
      </c>
      <c r="F754" t="s">
        <v>96</v>
      </c>
      <c r="G754">
        <v>90255</v>
      </c>
      <c r="H754" s="1">
        <v>43646</v>
      </c>
      <c r="I754" t="s">
        <v>57</v>
      </c>
      <c r="J754" t="s">
        <v>67</v>
      </c>
      <c r="K754" t="s">
        <v>49</v>
      </c>
      <c r="L754">
        <v>18</v>
      </c>
      <c r="M754">
        <v>5</v>
      </c>
      <c r="N754">
        <v>4</v>
      </c>
      <c r="O754" t="s">
        <v>35</v>
      </c>
      <c r="P754" t="s">
        <v>36</v>
      </c>
      <c r="Q754">
        <v>239</v>
      </c>
      <c r="R754">
        <v>52</v>
      </c>
      <c r="S754">
        <v>16</v>
      </c>
      <c r="T754" t="s">
        <v>36</v>
      </c>
      <c r="U754" t="s">
        <v>36</v>
      </c>
      <c r="V754" t="s">
        <v>36</v>
      </c>
      <c r="W754" t="s">
        <v>60</v>
      </c>
      <c r="X754">
        <v>2019</v>
      </c>
      <c r="Y754" t="s">
        <v>61</v>
      </c>
      <c r="Z754" t="s">
        <v>104</v>
      </c>
      <c r="AA754" t="s">
        <v>87</v>
      </c>
    </row>
    <row r="755" spans="1:27" x14ac:dyDescent="0.3">
      <c r="A755" t="s">
        <v>874</v>
      </c>
      <c r="B755" t="s">
        <v>43</v>
      </c>
      <c r="C755">
        <v>39</v>
      </c>
      <c r="D755" t="s">
        <v>65</v>
      </c>
      <c r="E755" t="s">
        <v>147</v>
      </c>
      <c r="F755" t="s">
        <v>46</v>
      </c>
      <c r="G755">
        <v>106898</v>
      </c>
      <c r="H755" s="1">
        <v>45133</v>
      </c>
      <c r="I755" t="s">
        <v>107</v>
      </c>
      <c r="J755" t="s">
        <v>73</v>
      </c>
      <c r="K755" t="s">
        <v>34</v>
      </c>
      <c r="L755">
        <v>10</v>
      </c>
      <c r="M755">
        <v>2</v>
      </c>
      <c r="N755">
        <v>5</v>
      </c>
      <c r="O755" t="s">
        <v>59</v>
      </c>
      <c r="P755" t="s">
        <v>36</v>
      </c>
      <c r="Q755">
        <v>197</v>
      </c>
      <c r="R755">
        <v>74</v>
      </c>
      <c r="S755">
        <v>15</v>
      </c>
      <c r="T755" t="s">
        <v>36</v>
      </c>
      <c r="U755" t="s">
        <v>36</v>
      </c>
      <c r="V755" t="s">
        <v>36</v>
      </c>
      <c r="W755" t="s">
        <v>126</v>
      </c>
      <c r="X755">
        <v>2023</v>
      </c>
      <c r="Y755" t="s">
        <v>79</v>
      </c>
      <c r="Z755" t="s">
        <v>62</v>
      </c>
      <c r="AA755" t="s">
        <v>87</v>
      </c>
    </row>
    <row r="756" spans="1:27" x14ac:dyDescent="0.3">
      <c r="A756" t="s">
        <v>875</v>
      </c>
      <c r="B756" t="s">
        <v>28</v>
      </c>
      <c r="C756">
        <v>25</v>
      </c>
      <c r="D756" t="s">
        <v>81</v>
      </c>
      <c r="E756" t="s">
        <v>113</v>
      </c>
      <c r="F756" t="s">
        <v>46</v>
      </c>
      <c r="G756">
        <v>88505</v>
      </c>
      <c r="H756" s="1">
        <v>45312</v>
      </c>
      <c r="I756" t="s">
        <v>98</v>
      </c>
      <c r="J756" t="s">
        <v>73</v>
      </c>
      <c r="K756" t="s">
        <v>34</v>
      </c>
      <c r="L756">
        <v>12</v>
      </c>
      <c r="M756">
        <v>5</v>
      </c>
      <c r="N756">
        <v>2</v>
      </c>
      <c r="O756" t="s">
        <v>68</v>
      </c>
      <c r="P756" t="s">
        <v>37</v>
      </c>
      <c r="Q756">
        <v>193</v>
      </c>
      <c r="R756">
        <v>31</v>
      </c>
      <c r="S756">
        <v>28</v>
      </c>
      <c r="T756" t="s">
        <v>36</v>
      </c>
      <c r="U756" t="s">
        <v>36</v>
      </c>
      <c r="V756" t="s">
        <v>36</v>
      </c>
      <c r="W756" t="s">
        <v>126</v>
      </c>
      <c r="X756">
        <v>2024</v>
      </c>
      <c r="Y756" t="s">
        <v>94</v>
      </c>
      <c r="Z756" t="s">
        <v>104</v>
      </c>
      <c r="AA756" t="s">
        <v>52</v>
      </c>
    </row>
    <row r="757" spans="1:27" x14ac:dyDescent="0.3">
      <c r="A757" t="s">
        <v>876</v>
      </c>
      <c r="B757" t="s">
        <v>28</v>
      </c>
      <c r="C757">
        <v>50</v>
      </c>
      <c r="D757" t="s">
        <v>77</v>
      </c>
      <c r="E757" t="s">
        <v>182</v>
      </c>
      <c r="F757" t="s">
        <v>56</v>
      </c>
      <c r="G757">
        <v>31401</v>
      </c>
      <c r="H757" s="1">
        <v>44509</v>
      </c>
      <c r="I757" t="s">
        <v>107</v>
      </c>
      <c r="J757" t="s">
        <v>91</v>
      </c>
      <c r="K757" t="s">
        <v>34</v>
      </c>
      <c r="L757">
        <v>0</v>
      </c>
      <c r="M757">
        <v>5</v>
      </c>
      <c r="N757">
        <v>2</v>
      </c>
      <c r="O757" t="s">
        <v>59</v>
      </c>
      <c r="P757" t="s">
        <v>36</v>
      </c>
      <c r="Q757">
        <v>179</v>
      </c>
      <c r="R757">
        <v>71</v>
      </c>
      <c r="S757">
        <v>23</v>
      </c>
      <c r="T757" t="s">
        <v>36</v>
      </c>
      <c r="U757" t="s">
        <v>36</v>
      </c>
      <c r="V757" t="s">
        <v>36</v>
      </c>
      <c r="W757" t="s">
        <v>60</v>
      </c>
      <c r="X757">
        <v>2021</v>
      </c>
      <c r="Y757" t="s">
        <v>123</v>
      </c>
      <c r="Z757" t="s">
        <v>70</v>
      </c>
      <c r="AA757" t="s">
        <v>63</v>
      </c>
    </row>
    <row r="758" spans="1:27" x14ac:dyDescent="0.3">
      <c r="A758" t="s">
        <v>877</v>
      </c>
      <c r="B758" t="s">
        <v>43</v>
      </c>
      <c r="C758">
        <v>35</v>
      </c>
      <c r="D758" t="s">
        <v>77</v>
      </c>
      <c r="E758" t="s">
        <v>182</v>
      </c>
      <c r="F758" t="s">
        <v>31</v>
      </c>
      <c r="G758">
        <v>62986</v>
      </c>
      <c r="H758" s="1">
        <v>45324</v>
      </c>
      <c r="I758" t="s">
        <v>57</v>
      </c>
      <c r="J758" t="s">
        <v>67</v>
      </c>
      <c r="K758" t="s">
        <v>58</v>
      </c>
      <c r="L758">
        <v>7</v>
      </c>
      <c r="M758">
        <v>2</v>
      </c>
      <c r="N758">
        <v>2</v>
      </c>
      <c r="O758" t="s">
        <v>59</v>
      </c>
      <c r="P758" t="s">
        <v>36</v>
      </c>
      <c r="Q758">
        <v>150</v>
      </c>
      <c r="R758">
        <v>43</v>
      </c>
      <c r="S758">
        <v>28</v>
      </c>
      <c r="T758" t="s">
        <v>37</v>
      </c>
      <c r="U758" t="s">
        <v>37</v>
      </c>
      <c r="V758" t="s">
        <v>36</v>
      </c>
      <c r="W758" t="s">
        <v>60</v>
      </c>
      <c r="X758">
        <v>2024</v>
      </c>
      <c r="Y758" t="s">
        <v>39</v>
      </c>
      <c r="Z758" t="s">
        <v>40</v>
      </c>
      <c r="AA758" t="s">
        <v>52</v>
      </c>
    </row>
    <row r="759" spans="1:27" x14ac:dyDescent="0.3">
      <c r="A759" t="s">
        <v>878</v>
      </c>
      <c r="B759" t="s">
        <v>28</v>
      </c>
      <c r="C759">
        <v>33</v>
      </c>
      <c r="D759" t="s">
        <v>29</v>
      </c>
      <c r="E759" t="s">
        <v>103</v>
      </c>
      <c r="F759" t="s">
        <v>56</v>
      </c>
      <c r="G759">
        <v>37692</v>
      </c>
      <c r="H759" s="1">
        <v>44314</v>
      </c>
      <c r="I759" t="s">
        <v>47</v>
      </c>
      <c r="J759" t="s">
        <v>91</v>
      </c>
      <c r="K759" t="s">
        <v>34</v>
      </c>
      <c r="L759">
        <v>0</v>
      </c>
      <c r="M759">
        <v>2</v>
      </c>
      <c r="N759">
        <v>1</v>
      </c>
      <c r="O759" t="s">
        <v>59</v>
      </c>
      <c r="P759" t="s">
        <v>37</v>
      </c>
      <c r="Q759">
        <v>182</v>
      </c>
      <c r="R759">
        <v>6</v>
      </c>
      <c r="S759">
        <v>24</v>
      </c>
      <c r="T759" t="s">
        <v>36</v>
      </c>
      <c r="U759" t="s">
        <v>36</v>
      </c>
      <c r="V759" t="s">
        <v>36</v>
      </c>
      <c r="W759" t="s">
        <v>60</v>
      </c>
      <c r="X759">
        <v>2021</v>
      </c>
      <c r="Y759" t="s">
        <v>69</v>
      </c>
      <c r="Z759" t="s">
        <v>40</v>
      </c>
      <c r="AA759" t="s">
        <v>63</v>
      </c>
    </row>
    <row r="760" spans="1:27" x14ac:dyDescent="0.3">
      <c r="A760" t="s">
        <v>879</v>
      </c>
      <c r="B760" t="s">
        <v>43</v>
      </c>
      <c r="C760">
        <v>25</v>
      </c>
      <c r="D760" t="s">
        <v>77</v>
      </c>
      <c r="E760" t="s">
        <v>78</v>
      </c>
      <c r="F760" t="s">
        <v>31</v>
      </c>
      <c r="G760">
        <v>51954</v>
      </c>
      <c r="H760" s="1">
        <v>46002</v>
      </c>
      <c r="I760" t="s">
        <v>57</v>
      </c>
      <c r="J760" t="s">
        <v>101</v>
      </c>
      <c r="K760" t="s">
        <v>49</v>
      </c>
      <c r="L760">
        <v>5</v>
      </c>
      <c r="M760">
        <v>5</v>
      </c>
      <c r="N760">
        <v>4</v>
      </c>
      <c r="O760" t="s">
        <v>50</v>
      </c>
      <c r="P760" t="s">
        <v>36</v>
      </c>
      <c r="Q760">
        <v>228</v>
      </c>
      <c r="R760">
        <v>8</v>
      </c>
      <c r="S760">
        <v>10</v>
      </c>
      <c r="T760" t="s">
        <v>36</v>
      </c>
      <c r="U760" t="s">
        <v>37</v>
      </c>
      <c r="V760" t="s">
        <v>36</v>
      </c>
      <c r="W760" t="s">
        <v>126</v>
      </c>
      <c r="X760">
        <v>2025</v>
      </c>
      <c r="Y760" t="s">
        <v>116</v>
      </c>
      <c r="Z760" t="s">
        <v>104</v>
      </c>
      <c r="AA760" t="s">
        <v>41</v>
      </c>
    </row>
    <row r="761" spans="1:27" x14ac:dyDescent="0.3">
      <c r="A761" t="s">
        <v>880</v>
      </c>
      <c r="B761" t="s">
        <v>43</v>
      </c>
      <c r="C761">
        <v>36</v>
      </c>
      <c r="D761" t="s">
        <v>54</v>
      </c>
      <c r="E761" t="s">
        <v>55</v>
      </c>
      <c r="F761" t="s">
        <v>46</v>
      </c>
      <c r="G761">
        <v>109882</v>
      </c>
      <c r="H761" s="1">
        <v>43577</v>
      </c>
      <c r="I761" t="s">
        <v>98</v>
      </c>
      <c r="J761" t="s">
        <v>48</v>
      </c>
      <c r="K761" t="s">
        <v>58</v>
      </c>
      <c r="L761">
        <v>12</v>
      </c>
      <c r="M761">
        <v>4</v>
      </c>
      <c r="N761">
        <v>1</v>
      </c>
      <c r="O761" t="s">
        <v>68</v>
      </c>
      <c r="P761" t="s">
        <v>36</v>
      </c>
      <c r="Q761">
        <v>247</v>
      </c>
      <c r="R761">
        <v>17</v>
      </c>
      <c r="S761">
        <v>16</v>
      </c>
      <c r="T761" t="s">
        <v>36</v>
      </c>
      <c r="U761" t="s">
        <v>37</v>
      </c>
      <c r="V761" t="s">
        <v>36</v>
      </c>
      <c r="W761" t="s">
        <v>60</v>
      </c>
      <c r="X761">
        <v>2019</v>
      </c>
      <c r="Y761" t="s">
        <v>69</v>
      </c>
      <c r="Z761" t="s">
        <v>62</v>
      </c>
      <c r="AA761" t="s">
        <v>87</v>
      </c>
    </row>
    <row r="762" spans="1:27" x14ac:dyDescent="0.3">
      <c r="A762" t="s">
        <v>881</v>
      </c>
      <c r="B762" t="s">
        <v>28</v>
      </c>
      <c r="C762">
        <v>27</v>
      </c>
      <c r="D762" t="s">
        <v>89</v>
      </c>
      <c r="E762" t="s">
        <v>203</v>
      </c>
      <c r="F762" t="s">
        <v>46</v>
      </c>
      <c r="G762">
        <v>85303</v>
      </c>
      <c r="H762" s="1">
        <v>45314</v>
      </c>
      <c r="I762" t="s">
        <v>98</v>
      </c>
      <c r="J762" t="s">
        <v>99</v>
      </c>
      <c r="K762" t="s">
        <v>34</v>
      </c>
      <c r="L762">
        <v>13</v>
      </c>
      <c r="M762">
        <v>2</v>
      </c>
      <c r="N762">
        <v>5</v>
      </c>
      <c r="O762" t="s">
        <v>59</v>
      </c>
      <c r="P762" t="s">
        <v>36</v>
      </c>
      <c r="Q762">
        <v>162</v>
      </c>
      <c r="R762">
        <v>13</v>
      </c>
      <c r="S762">
        <v>18</v>
      </c>
      <c r="T762" t="s">
        <v>37</v>
      </c>
      <c r="U762" t="s">
        <v>37</v>
      </c>
      <c r="V762" t="s">
        <v>36</v>
      </c>
      <c r="W762" t="s">
        <v>126</v>
      </c>
      <c r="X762">
        <v>2024</v>
      </c>
      <c r="Y762" t="s">
        <v>94</v>
      </c>
      <c r="Z762" t="s">
        <v>75</v>
      </c>
      <c r="AA762" t="s">
        <v>52</v>
      </c>
    </row>
    <row r="763" spans="1:27" x14ac:dyDescent="0.3">
      <c r="A763" t="s">
        <v>882</v>
      </c>
      <c r="B763" t="s">
        <v>43</v>
      </c>
      <c r="C763">
        <v>32</v>
      </c>
      <c r="D763" t="s">
        <v>77</v>
      </c>
      <c r="E763" t="s">
        <v>182</v>
      </c>
      <c r="F763" t="s">
        <v>46</v>
      </c>
      <c r="G763">
        <v>103381</v>
      </c>
      <c r="H763" s="1">
        <v>45582</v>
      </c>
      <c r="I763" t="s">
        <v>98</v>
      </c>
      <c r="J763" t="s">
        <v>91</v>
      </c>
      <c r="K763" t="s">
        <v>49</v>
      </c>
      <c r="L763">
        <v>6</v>
      </c>
      <c r="M763">
        <v>4</v>
      </c>
      <c r="N763">
        <v>2</v>
      </c>
      <c r="O763" t="s">
        <v>35</v>
      </c>
      <c r="P763" t="s">
        <v>36</v>
      </c>
      <c r="Q763">
        <v>187</v>
      </c>
      <c r="R763">
        <v>24</v>
      </c>
      <c r="S763">
        <v>28</v>
      </c>
      <c r="T763" t="s">
        <v>37</v>
      </c>
      <c r="U763" t="s">
        <v>36</v>
      </c>
      <c r="V763" t="s">
        <v>37</v>
      </c>
      <c r="W763" t="s">
        <v>38</v>
      </c>
      <c r="X763">
        <v>2024</v>
      </c>
      <c r="Y763" t="s">
        <v>83</v>
      </c>
      <c r="Z763" t="s">
        <v>40</v>
      </c>
      <c r="AA763" t="s">
        <v>87</v>
      </c>
    </row>
    <row r="764" spans="1:27" x14ac:dyDescent="0.3">
      <c r="A764" t="s">
        <v>883</v>
      </c>
      <c r="B764" t="s">
        <v>28</v>
      </c>
      <c r="C764">
        <v>49</v>
      </c>
      <c r="D764" t="s">
        <v>89</v>
      </c>
      <c r="E764" t="s">
        <v>130</v>
      </c>
      <c r="F764" t="s">
        <v>31</v>
      </c>
      <c r="G764">
        <v>42186</v>
      </c>
      <c r="H764" s="1">
        <v>46144</v>
      </c>
      <c r="I764" t="s">
        <v>98</v>
      </c>
      <c r="J764" t="s">
        <v>101</v>
      </c>
      <c r="K764" t="s">
        <v>58</v>
      </c>
      <c r="L764">
        <v>5</v>
      </c>
      <c r="M764">
        <v>2</v>
      </c>
      <c r="N764">
        <v>4</v>
      </c>
      <c r="O764" t="s">
        <v>59</v>
      </c>
      <c r="P764" t="s">
        <v>37</v>
      </c>
      <c r="Q764">
        <v>188</v>
      </c>
      <c r="R764">
        <v>19</v>
      </c>
      <c r="S764">
        <v>5</v>
      </c>
      <c r="T764" t="s">
        <v>37</v>
      </c>
      <c r="U764" t="s">
        <v>36</v>
      </c>
      <c r="V764" t="s">
        <v>37</v>
      </c>
      <c r="W764" t="s">
        <v>38</v>
      </c>
      <c r="X764">
        <v>2026</v>
      </c>
      <c r="Y764" t="s">
        <v>74</v>
      </c>
      <c r="Z764" t="s">
        <v>70</v>
      </c>
      <c r="AA764" t="s">
        <v>41</v>
      </c>
    </row>
    <row r="765" spans="1:27" x14ac:dyDescent="0.3">
      <c r="A765" t="s">
        <v>884</v>
      </c>
      <c r="B765" t="s">
        <v>28</v>
      </c>
      <c r="C765">
        <v>31</v>
      </c>
      <c r="D765" t="s">
        <v>85</v>
      </c>
      <c r="E765" t="s">
        <v>86</v>
      </c>
      <c r="F765" t="s">
        <v>96</v>
      </c>
      <c r="G765">
        <v>155030</v>
      </c>
      <c r="H765" s="1">
        <v>45227</v>
      </c>
      <c r="I765" t="s">
        <v>57</v>
      </c>
      <c r="J765" t="s">
        <v>67</v>
      </c>
      <c r="K765" t="s">
        <v>49</v>
      </c>
      <c r="L765">
        <v>13</v>
      </c>
      <c r="M765">
        <v>1</v>
      </c>
      <c r="N765">
        <v>5</v>
      </c>
      <c r="O765" t="s">
        <v>59</v>
      </c>
      <c r="P765" t="s">
        <v>36</v>
      </c>
      <c r="Q765">
        <v>197</v>
      </c>
      <c r="R765">
        <v>13</v>
      </c>
      <c r="S765">
        <v>4</v>
      </c>
      <c r="T765" t="s">
        <v>37</v>
      </c>
      <c r="U765" t="s">
        <v>37</v>
      </c>
      <c r="V765" t="s">
        <v>36</v>
      </c>
      <c r="W765" t="s">
        <v>60</v>
      </c>
      <c r="X765">
        <v>2023</v>
      </c>
      <c r="Y765" t="s">
        <v>83</v>
      </c>
      <c r="Z765" t="s">
        <v>40</v>
      </c>
      <c r="AA765" t="s">
        <v>105</v>
      </c>
    </row>
    <row r="766" spans="1:27" x14ac:dyDescent="0.3">
      <c r="A766" t="s">
        <v>885</v>
      </c>
      <c r="B766" t="s">
        <v>43</v>
      </c>
      <c r="C766">
        <v>40</v>
      </c>
      <c r="D766" t="s">
        <v>89</v>
      </c>
      <c r="E766" t="s">
        <v>130</v>
      </c>
      <c r="F766" t="s">
        <v>31</v>
      </c>
      <c r="G766">
        <v>46506</v>
      </c>
      <c r="H766" s="1">
        <v>43564</v>
      </c>
      <c r="I766" t="s">
        <v>98</v>
      </c>
      <c r="J766" t="s">
        <v>91</v>
      </c>
      <c r="K766" t="s">
        <v>34</v>
      </c>
      <c r="L766">
        <v>2</v>
      </c>
      <c r="M766">
        <v>2</v>
      </c>
      <c r="N766">
        <v>1</v>
      </c>
      <c r="O766" t="s">
        <v>50</v>
      </c>
      <c r="P766" t="s">
        <v>36</v>
      </c>
      <c r="Q766">
        <v>173</v>
      </c>
      <c r="R766">
        <v>66</v>
      </c>
      <c r="S766">
        <v>4</v>
      </c>
      <c r="T766" t="s">
        <v>36</v>
      </c>
      <c r="U766" t="s">
        <v>36</v>
      </c>
      <c r="V766" t="s">
        <v>36</v>
      </c>
      <c r="W766" t="s">
        <v>60</v>
      </c>
      <c r="X766">
        <v>2019</v>
      </c>
      <c r="Y766" t="s">
        <v>69</v>
      </c>
      <c r="Z766" t="s">
        <v>62</v>
      </c>
      <c r="AA766" t="s">
        <v>41</v>
      </c>
    </row>
    <row r="767" spans="1:27" x14ac:dyDescent="0.3">
      <c r="A767" t="s">
        <v>886</v>
      </c>
      <c r="B767" t="s">
        <v>43</v>
      </c>
      <c r="C767">
        <v>27</v>
      </c>
      <c r="D767" t="s">
        <v>54</v>
      </c>
      <c r="E767" t="s">
        <v>153</v>
      </c>
      <c r="F767" t="s">
        <v>31</v>
      </c>
      <c r="G767">
        <v>48633</v>
      </c>
      <c r="H767" s="1">
        <v>44696</v>
      </c>
      <c r="I767" t="s">
        <v>57</v>
      </c>
      <c r="J767" t="s">
        <v>48</v>
      </c>
      <c r="K767" t="s">
        <v>34</v>
      </c>
      <c r="L767">
        <v>3</v>
      </c>
      <c r="M767">
        <v>2</v>
      </c>
      <c r="N767">
        <v>4</v>
      </c>
      <c r="O767" t="s">
        <v>50</v>
      </c>
      <c r="P767" t="s">
        <v>37</v>
      </c>
      <c r="Q767">
        <v>197</v>
      </c>
      <c r="R767">
        <v>79</v>
      </c>
      <c r="S767">
        <v>18</v>
      </c>
      <c r="T767" t="s">
        <v>37</v>
      </c>
      <c r="U767" t="s">
        <v>37</v>
      </c>
      <c r="V767" t="s">
        <v>36</v>
      </c>
      <c r="W767" t="s">
        <v>60</v>
      </c>
      <c r="X767">
        <v>2022</v>
      </c>
      <c r="Y767" t="s">
        <v>74</v>
      </c>
      <c r="Z767" t="s">
        <v>75</v>
      </c>
      <c r="AA767" t="s">
        <v>41</v>
      </c>
    </row>
    <row r="768" spans="1:27" x14ac:dyDescent="0.3">
      <c r="A768" t="s">
        <v>887</v>
      </c>
      <c r="B768" t="s">
        <v>28</v>
      </c>
      <c r="C768">
        <v>31</v>
      </c>
      <c r="D768" t="s">
        <v>65</v>
      </c>
      <c r="E768" t="s">
        <v>147</v>
      </c>
      <c r="F768" t="s">
        <v>96</v>
      </c>
      <c r="G768">
        <v>117991</v>
      </c>
      <c r="H768" s="1">
        <v>46185</v>
      </c>
      <c r="I768" t="s">
        <v>98</v>
      </c>
      <c r="J768" t="s">
        <v>48</v>
      </c>
      <c r="K768" t="s">
        <v>58</v>
      </c>
      <c r="L768">
        <v>11</v>
      </c>
      <c r="M768">
        <v>4</v>
      </c>
      <c r="N768">
        <v>4</v>
      </c>
      <c r="O768" t="s">
        <v>68</v>
      </c>
      <c r="P768" t="s">
        <v>36</v>
      </c>
      <c r="Q768">
        <v>177</v>
      </c>
      <c r="R768">
        <v>70</v>
      </c>
      <c r="S768">
        <v>6</v>
      </c>
      <c r="T768" t="s">
        <v>37</v>
      </c>
      <c r="U768" t="s">
        <v>37</v>
      </c>
      <c r="V768" t="s">
        <v>36</v>
      </c>
      <c r="W768" t="s">
        <v>126</v>
      </c>
      <c r="X768">
        <v>2026</v>
      </c>
      <c r="Y768" t="s">
        <v>61</v>
      </c>
      <c r="Z768" t="s">
        <v>40</v>
      </c>
      <c r="AA768" t="s">
        <v>87</v>
      </c>
    </row>
    <row r="769" spans="1:27" x14ac:dyDescent="0.3">
      <c r="A769" t="s">
        <v>888</v>
      </c>
      <c r="B769" t="s">
        <v>28</v>
      </c>
      <c r="C769">
        <v>44</v>
      </c>
      <c r="D769" t="s">
        <v>85</v>
      </c>
      <c r="E769" t="s">
        <v>168</v>
      </c>
      <c r="F769" t="s">
        <v>96</v>
      </c>
      <c r="G769">
        <v>137411</v>
      </c>
      <c r="H769" s="1">
        <v>44541</v>
      </c>
      <c r="I769" t="s">
        <v>57</v>
      </c>
      <c r="J769" t="s">
        <v>33</v>
      </c>
      <c r="K769" t="s">
        <v>34</v>
      </c>
      <c r="L769">
        <v>11</v>
      </c>
      <c r="M769">
        <v>4</v>
      </c>
      <c r="N769">
        <v>1</v>
      </c>
      <c r="O769" t="s">
        <v>50</v>
      </c>
      <c r="P769" t="s">
        <v>36</v>
      </c>
      <c r="Q769">
        <v>155</v>
      </c>
      <c r="R769">
        <v>55</v>
      </c>
      <c r="S769">
        <v>16</v>
      </c>
      <c r="T769" t="s">
        <v>36</v>
      </c>
      <c r="U769" t="s">
        <v>36</v>
      </c>
      <c r="V769" t="s">
        <v>36</v>
      </c>
      <c r="W769" t="s">
        <v>60</v>
      </c>
      <c r="X769">
        <v>2021</v>
      </c>
      <c r="Y769" t="s">
        <v>116</v>
      </c>
      <c r="Z769" t="s">
        <v>70</v>
      </c>
      <c r="AA769" t="s">
        <v>105</v>
      </c>
    </row>
    <row r="770" spans="1:27" x14ac:dyDescent="0.3">
      <c r="A770" t="s">
        <v>889</v>
      </c>
      <c r="B770" t="s">
        <v>28</v>
      </c>
      <c r="C770">
        <v>27</v>
      </c>
      <c r="D770" t="s">
        <v>89</v>
      </c>
      <c r="E770" t="s">
        <v>130</v>
      </c>
      <c r="F770" t="s">
        <v>31</v>
      </c>
      <c r="G770">
        <v>49908</v>
      </c>
      <c r="H770" s="1">
        <v>45601</v>
      </c>
      <c r="I770" t="s">
        <v>98</v>
      </c>
      <c r="J770" t="s">
        <v>48</v>
      </c>
      <c r="K770" t="s">
        <v>34</v>
      </c>
      <c r="L770">
        <v>6</v>
      </c>
      <c r="M770">
        <v>3</v>
      </c>
      <c r="N770">
        <v>4</v>
      </c>
      <c r="O770" t="s">
        <v>68</v>
      </c>
      <c r="P770" t="s">
        <v>37</v>
      </c>
      <c r="Q770">
        <v>205</v>
      </c>
      <c r="R770">
        <v>10</v>
      </c>
      <c r="S770">
        <v>13</v>
      </c>
      <c r="T770" t="s">
        <v>36</v>
      </c>
      <c r="U770" t="s">
        <v>37</v>
      </c>
      <c r="V770" t="s">
        <v>36</v>
      </c>
      <c r="W770" t="s">
        <v>126</v>
      </c>
      <c r="X770">
        <v>2024</v>
      </c>
      <c r="Y770" t="s">
        <v>123</v>
      </c>
      <c r="Z770" t="s">
        <v>75</v>
      </c>
      <c r="AA770" t="s">
        <v>41</v>
      </c>
    </row>
    <row r="771" spans="1:27" x14ac:dyDescent="0.3">
      <c r="A771" t="s">
        <v>890</v>
      </c>
      <c r="B771" t="s">
        <v>43</v>
      </c>
      <c r="C771">
        <v>44</v>
      </c>
      <c r="D771" t="s">
        <v>89</v>
      </c>
      <c r="E771" t="s">
        <v>144</v>
      </c>
      <c r="F771" t="s">
        <v>46</v>
      </c>
      <c r="G771">
        <v>100080</v>
      </c>
      <c r="H771" s="1">
        <v>44805</v>
      </c>
      <c r="I771" t="s">
        <v>98</v>
      </c>
      <c r="J771" t="s">
        <v>73</v>
      </c>
      <c r="K771" t="s">
        <v>49</v>
      </c>
      <c r="L771">
        <v>14</v>
      </c>
      <c r="M771">
        <v>3</v>
      </c>
      <c r="N771">
        <v>4</v>
      </c>
      <c r="O771" t="s">
        <v>50</v>
      </c>
      <c r="P771" t="s">
        <v>36</v>
      </c>
      <c r="Q771">
        <v>212</v>
      </c>
      <c r="R771">
        <v>16</v>
      </c>
      <c r="S771">
        <v>24</v>
      </c>
      <c r="T771" t="s">
        <v>36</v>
      </c>
      <c r="U771" t="s">
        <v>36</v>
      </c>
      <c r="V771" t="s">
        <v>36</v>
      </c>
      <c r="W771" t="s">
        <v>60</v>
      </c>
      <c r="X771">
        <v>2022</v>
      </c>
      <c r="Y771" t="s">
        <v>51</v>
      </c>
      <c r="Z771" t="s">
        <v>70</v>
      </c>
      <c r="AA771" t="s">
        <v>87</v>
      </c>
    </row>
    <row r="772" spans="1:27" x14ac:dyDescent="0.3">
      <c r="A772" t="s">
        <v>891</v>
      </c>
      <c r="B772" t="s">
        <v>28</v>
      </c>
      <c r="C772">
        <v>36</v>
      </c>
      <c r="D772" t="s">
        <v>81</v>
      </c>
      <c r="E772" t="s">
        <v>82</v>
      </c>
      <c r="F772" t="s">
        <v>46</v>
      </c>
      <c r="G772">
        <v>83936</v>
      </c>
      <c r="H772" s="1">
        <v>45569</v>
      </c>
      <c r="I772" t="s">
        <v>107</v>
      </c>
      <c r="J772" t="s">
        <v>33</v>
      </c>
      <c r="K772" t="s">
        <v>49</v>
      </c>
      <c r="L772">
        <v>14</v>
      </c>
      <c r="M772">
        <v>2</v>
      </c>
      <c r="N772">
        <v>3</v>
      </c>
      <c r="O772" t="s">
        <v>59</v>
      </c>
      <c r="P772" t="s">
        <v>36</v>
      </c>
      <c r="Q772">
        <v>180</v>
      </c>
      <c r="R772">
        <v>40</v>
      </c>
      <c r="S772">
        <v>10</v>
      </c>
      <c r="T772" t="s">
        <v>36</v>
      </c>
      <c r="U772" t="s">
        <v>36</v>
      </c>
      <c r="V772" t="s">
        <v>36</v>
      </c>
      <c r="W772" t="s">
        <v>126</v>
      </c>
      <c r="X772">
        <v>2024</v>
      </c>
      <c r="Y772" t="s">
        <v>83</v>
      </c>
      <c r="Z772" t="s">
        <v>62</v>
      </c>
      <c r="AA772" t="s">
        <v>52</v>
      </c>
    </row>
    <row r="773" spans="1:27" x14ac:dyDescent="0.3">
      <c r="A773" t="s">
        <v>892</v>
      </c>
      <c r="B773" t="s">
        <v>28</v>
      </c>
      <c r="C773">
        <v>28</v>
      </c>
      <c r="D773" t="s">
        <v>85</v>
      </c>
      <c r="E773" t="s">
        <v>151</v>
      </c>
      <c r="F773" t="s">
        <v>31</v>
      </c>
      <c r="G773">
        <v>64515</v>
      </c>
      <c r="H773" s="1">
        <v>44946</v>
      </c>
      <c r="I773" t="s">
        <v>32</v>
      </c>
      <c r="J773" t="s">
        <v>48</v>
      </c>
      <c r="K773" t="s">
        <v>34</v>
      </c>
      <c r="L773">
        <v>7</v>
      </c>
      <c r="M773">
        <v>5</v>
      </c>
      <c r="N773">
        <v>5</v>
      </c>
      <c r="O773" t="s">
        <v>50</v>
      </c>
      <c r="P773" t="s">
        <v>36</v>
      </c>
      <c r="Q773">
        <v>176</v>
      </c>
      <c r="R773">
        <v>36</v>
      </c>
      <c r="S773">
        <v>8</v>
      </c>
      <c r="T773" t="s">
        <v>36</v>
      </c>
      <c r="U773" t="s">
        <v>36</v>
      </c>
      <c r="V773" t="s">
        <v>36</v>
      </c>
      <c r="W773" t="s">
        <v>60</v>
      </c>
      <c r="X773">
        <v>2023</v>
      </c>
      <c r="Y773" t="s">
        <v>94</v>
      </c>
      <c r="Z773" t="s">
        <v>75</v>
      </c>
      <c r="AA773" t="s">
        <v>52</v>
      </c>
    </row>
    <row r="774" spans="1:27" x14ac:dyDescent="0.3">
      <c r="A774" t="s">
        <v>893</v>
      </c>
      <c r="B774" t="s">
        <v>28</v>
      </c>
      <c r="C774">
        <v>36</v>
      </c>
      <c r="D774" t="s">
        <v>89</v>
      </c>
      <c r="E774" t="s">
        <v>144</v>
      </c>
      <c r="F774" t="s">
        <v>31</v>
      </c>
      <c r="G774">
        <v>54832</v>
      </c>
      <c r="H774" s="1">
        <v>44574</v>
      </c>
      <c r="I774" t="s">
        <v>57</v>
      </c>
      <c r="J774" t="s">
        <v>67</v>
      </c>
      <c r="K774" t="s">
        <v>58</v>
      </c>
      <c r="L774">
        <v>5</v>
      </c>
      <c r="M774">
        <v>5</v>
      </c>
      <c r="N774">
        <v>4</v>
      </c>
      <c r="O774" t="s">
        <v>59</v>
      </c>
      <c r="P774" t="s">
        <v>36</v>
      </c>
      <c r="Q774">
        <v>193</v>
      </c>
      <c r="R774">
        <v>75</v>
      </c>
      <c r="S774">
        <v>14</v>
      </c>
      <c r="T774" t="s">
        <v>37</v>
      </c>
      <c r="U774" t="s">
        <v>36</v>
      </c>
      <c r="V774" t="s">
        <v>36</v>
      </c>
      <c r="W774" t="s">
        <v>60</v>
      </c>
      <c r="X774">
        <v>2022</v>
      </c>
      <c r="Y774" t="s">
        <v>94</v>
      </c>
      <c r="Z774" t="s">
        <v>62</v>
      </c>
      <c r="AA774" t="s">
        <v>41</v>
      </c>
    </row>
    <row r="775" spans="1:27" x14ac:dyDescent="0.3">
      <c r="A775" t="s">
        <v>894</v>
      </c>
      <c r="B775" t="s">
        <v>28</v>
      </c>
      <c r="C775">
        <v>38</v>
      </c>
      <c r="D775" t="s">
        <v>81</v>
      </c>
      <c r="E775" t="s">
        <v>165</v>
      </c>
      <c r="F775" t="s">
        <v>96</v>
      </c>
      <c r="G775">
        <v>126318</v>
      </c>
      <c r="H775" s="1">
        <v>45790</v>
      </c>
      <c r="I775" t="s">
        <v>47</v>
      </c>
      <c r="J775" t="s">
        <v>48</v>
      </c>
      <c r="K775" t="s">
        <v>49</v>
      </c>
      <c r="L775">
        <v>16</v>
      </c>
      <c r="M775">
        <v>4</v>
      </c>
      <c r="N775">
        <v>2</v>
      </c>
      <c r="O775" t="s">
        <v>59</v>
      </c>
      <c r="P775" t="s">
        <v>36</v>
      </c>
      <c r="Q775">
        <v>156</v>
      </c>
      <c r="R775">
        <v>54</v>
      </c>
      <c r="S775">
        <v>12</v>
      </c>
      <c r="T775" t="s">
        <v>37</v>
      </c>
      <c r="U775" t="s">
        <v>36</v>
      </c>
      <c r="V775" t="s">
        <v>36</v>
      </c>
      <c r="W775" t="s">
        <v>60</v>
      </c>
      <c r="X775">
        <v>2025</v>
      </c>
      <c r="Y775" t="s">
        <v>74</v>
      </c>
      <c r="Z775" t="s">
        <v>62</v>
      </c>
      <c r="AA775" t="s">
        <v>87</v>
      </c>
    </row>
    <row r="776" spans="1:27" x14ac:dyDescent="0.3">
      <c r="A776" t="s">
        <v>895</v>
      </c>
      <c r="B776" t="s">
        <v>28</v>
      </c>
      <c r="C776">
        <v>36</v>
      </c>
      <c r="D776" t="s">
        <v>54</v>
      </c>
      <c r="E776" t="s">
        <v>207</v>
      </c>
      <c r="F776" t="s">
        <v>56</v>
      </c>
      <c r="G776">
        <v>29344</v>
      </c>
      <c r="H776" s="1">
        <v>44602</v>
      </c>
      <c r="I776" t="s">
        <v>47</v>
      </c>
      <c r="J776" t="s">
        <v>33</v>
      </c>
      <c r="K776" t="s">
        <v>58</v>
      </c>
      <c r="L776">
        <v>0</v>
      </c>
      <c r="M776">
        <v>1</v>
      </c>
      <c r="N776">
        <v>5</v>
      </c>
      <c r="O776" t="s">
        <v>35</v>
      </c>
      <c r="P776" t="s">
        <v>36</v>
      </c>
      <c r="Q776">
        <v>184</v>
      </c>
      <c r="R776">
        <v>6</v>
      </c>
      <c r="S776">
        <v>5</v>
      </c>
      <c r="T776" t="s">
        <v>36</v>
      </c>
      <c r="U776" t="s">
        <v>36</v>
      </c>
      <c r="V776" t="s">
        <v>36</v>
      </c>
      <c r="W776" t="s">
        <v>60</v>
      </c>
      <c r="X776">
        <v>2022</v>
      </c>
      <c r="Y776" t="s">
        <v>39</v>
      </c>
      <c r="Z776" t="s">
        <v>62</v>
      </c>
      <c r="AA776" t="s">
        <v>63</v>
      </c>
    </row>
    <row r="777" spans="1:27" x14ac:dyDescent="0.3">
      <c r="A777" t="s">
        <v>896</v>
      </c>
      <c r="B777" t="s">
        <v>43</v>
      </c>
      <c r="C777">
        <v>21</v>
      </c>
      <c r="D777" t="s">
        <v>77</v>
      </c>
      <c r="E777" t="s">
        <v>138</v>
      </c>
      <c r="F777" t="s">
        <v>31</v>
      </c>
      <c r="G777">
        <v>49223</v>
      </c>
      <c r="H777" s="1">
        <v>45938</v>
      </c>
      <c r="I777" t="s">
        <v>98</v>
      </c>
      <c r="J777" t="s">
        <v>91</v>
      </c>
      <c r="K777" t="s">
        <v>58</v>
      </c>
      <c r="L777">
        <v>6</v>
      </c>
      <c r="M777">
        <v>5</v>
      </c>
      <c r="N777">
        <v>3</v>
      </c>
      <c r="O777" t="s">
        <v>68</v>
      </c>
      <c r="P777" t="s">
        <v>36</v>
      </c>
      <c r="Q777">
        <v>195</v>
      </c>
      <c r="R777">
        <v>54</v>
      </c>
      <c r="S777">
        <v>8</v>
      </c>
      <c r="T777" t="s">
        <v>36</v>
      </c>
      <c r="U777" t="s">
        <v>36</v>
      </c>
      <c r="V777" t="s">
        <v>36</v>
      </c>
      <c r="W777" t="s">
        <v>60</v>
      </c>
      <c r="X777">
        <v>2025</v>
      </c>
      <c r="Y777" t="s">
        <v>83</v>
      </c>
      <c r="Z777" t="s">
        <v>104</v>
      </c>
      <c r="AA777" t="s">
        <v>41</v>
      </c>
    </row>
    <row r="778" spans="1:27" x14ac:dyDescent="0.3">
      <c r="A778" t="s">
        <v>897</v>
      </c>
      <c r="B778" t="s">
        <v>28</v>
      </c>
      <c r="C778">
        <v>26</v>
      </c>
      <c r="D778" t="s">
        <v>54</v>
      </c>
      <c r="E778" t="s">
        <v>207</v>
      </c>
      <c r="F778" t="s">
        <v>96</v>
      </c>
      <c r="G778">
        <v>106326</v>
      </c>
      <c r="H778" s="1">
        <v>44474</v>
      </c>
      <c r="I778" t="s">
        <v>32</v>
      </c>
      <c r="J778" t="s">
        <v>67</v>
      </c>
      <c r="K778" t="s">
        <v>58</v>
      </c>
      <c r="L778">
        <v>9</v>
      </c>
      <c r="M778">
        <v>4</v>
      </c>
      <c r="N778">
        <v>2</v>
      </c>
      <c r="O778" t="s">
        <v>35</v>
      </c>
      <c r="P778" t="s">
        <v>37</v>
      </c>
      <c r="Q778">
        <v>208</v>
      </c>
      <c r="R778">
        <v>35</v>
      </c>
      <c r="S778">
        <v>23</v>
      </c>
      <c r="T778" t="s">
        <v>36</v>
      </c>
      <c r="U778" t="s">
        <v>36</v>
      </c>
      <c r="V778" t="s">
        <v>36</v>
      </c>
      <c r="W778" t="s">
        <v>126</v>
      </c>
      <c r="X778">
        <v>2021</v>
      </c>
      <c r="Y778" t="s">
        <v>83</v>
      </c>
      <c r="Z778" t="s">
        <v>75</v>
      </c>
      <c r="AA778" t="s">
        <v>87</v>
      </c>
    </row>
    <row r="779" spans="1:27" x14ac:dyDescent="0.3">
      <c r="A779" t="s">
        <v>898</v>
      </c>
      <c r="B779" t="s">
        <v>43</v>
      </c>
      <c r="C779">
        <v>30</v>
      </c>
      <c r="D779" t="s">
        <v>89</v>
      </c>
      <c r="E779" t="s">
        <v>90</v>
      </c>
      <c r="F779" t="s">
        <v>31</v>
      </c>
      <c r="G779">
        <v>45288</v>
      </c>
      <c r="H779" s="1">
        <v>45139</v>
      </c>
      <c r="I779" t="s">
        <v>47</v>
      </c>
      <c r="J779" t="s">
        <v>99</v>
      </c>
      <c r="K779" t="s">
        <v>34</v>
      </c>
      <c r="L779">
        <v>2</v>
      </c>
      <c r="M779">
        <v>4</v>
      </c>
      <c r="N779">
        <v>4</v>
      </c>
      <c r="O779" t="s">
        <v>50</v>
      </c>
      <c r="P779" t="s">
        <v>37</v>
      </c>
      <c r="Q779">
        <v>244</v>
      </c>
      <c r="R779">
        <v>31</v>
      </c>
      <c r="S779">
        <v>30</v>
      </c>
      <c r="T779" t="s">
        <v>36</v>
      </c>
      <c r="U779" t="s">
        <v>36</v>
      </c>
      <c r="V779" t="s">
        <v>36</v>
      </c>
      <c r="W779" t="s">
        <v>126</v>
      </c>
      <c r="X779">
        <v>2023</v>
      </c>
      <c r="Y779" t="s">
        <v>128</v>
      </c>
      <c r="Z779" t="s">
        <v>75</v>
      </c>
      <c r="AA779" t="s">
        <v>41</v>
      </c>
    </row>
    <row r="780" spans="1:27" x14ac:dyDescent="0.3">
      <c r="A780" t="s">
        <v>899</v>
      </c>
      <c r="B780" t="s">
        <v>43</v>
      </c>
      <c r="C780">
        <v>31</v>
      </c>
      <c r="D780" t="s">
        <v>65</v>
      </c>
      <c r="E780" t="s">
        <v>66</v>
      </c>
      <c r="F780" t="s">
        <v>56</v>
      </c>
      <c r="G780">
        <v>44352</v>
      </c>
      <c r="H780" s="1">
        <v>45277</v>
      </c>
      <c r="I780" t="s">
        <v>47</v>
      </c>
      <c r="J780" t="s">
        <v>73</v>
      </c>
      <c r="K780" t="s">
        <v>49</v>
      </c>
      <c r="L780">
        <v>3</v>
      </c>
      <c r="M780">
        <v>5</v>
      </c>
      <c r="N780">
        <v>2</v>
      </c>
      <c r="O780" t="s">
        <v>68</v>
      </c>
      <c r="P780" t="s">
        <v>36</v>
      </c>
      <c r="Q780">
        <v>168</v>
      </c>
      <c r="R780">
        <v>32</v>
      </c>
      <c r="S780">
        <v>12</v>
      </c>
      <c r="T780" t="s">
        <v>36</v>
      </c>
      <c r="U780" t="s">
        <v>37</v>
      </c>
      <c r="V780" t="s">
        <v>36</v>
      </c>
      <c r="W780" t="s">
        <v>126</v>
      </c>
      <c r="X780">
        <v>2023</v>
      </c>
      <c r="Y780" t="s">
        <v>116</v>
      </c>
      <c r="Z780" t="s">
        <v>40</v>
      </c>
      <c r="AA780" t="s">
        <v>41</v>
      </c>
    </row>
    <row r="781" spans="1:27" x14ac:dyDescent="0.3">
      <c r="A781" t="s">
        <v>900</v>
      </c>
      <c r="B781" t="s">
        <v>43</v>
      </c>
      <c r="C781">
        <v>36</v>
      </c>
      <c r="D781" t="s">
        <v>44</v>
      </c>
      <c r="E781" t="s">
        <v>109</v>
      </c>
      <c r="F781" t="s">
        <v>31</v>
      </c>
      <c r="G781">
        <v>54433</v>
      </c>
      <c r="H781" s="1">
        <v>45389</v>
      </c>
      <c r="I781" t="s">
        <v>57</v>
      </c>
      <c r="J781" t="s">
        <v>118</v>
      </c>
      <c r="K781" t="s">
        <v>34</v>
      </c>
      <c r="L781">
        <v>6</v>
      </c>
      <c r="M781">
        <v>1</v>
      </c>
      <c r="N781">
        <v>5</v>
      </c>
      <c r="O781" t="s">
        <v>50</v>
      </c>
      <c r="P781" t="s">
        <v>37</v>
      </c>
      <c r="Q781">
        <v>232</v>
      </c>
      <c r="R781">
        <v>51</v>
      </c>
      <c r="S781">
        <v>14</v>
      </c>
      <c r="T781" t="s">
        <v>37</v>
      </c>
      <c r="U781" t="s">
        <v>37</v>
      </c>
      <c r="V781" t="s">
        <v>36</v>
      </c>
      <c r="W781" t="s">
        <v>126</v>
      </c>
      <c r="X781">
        <v>2024</v>
      </c>
      <c r="Y781" t="s">
        <v>69</v>
      </c>
      <c r="Z781" t="s">
        <v>62</v>
      </c>
      <c r="AA781" t="s">
        <v>41</v>
      </c>
    </row>
    <row r="782" spans="1:27" x14ac:dyDescent="0.3">
      <c r="A782" t="s">
        <v>901</v>
      </c>
      <c r="B782" t="s">
        <v>43</v>
      </c>
      <c r="C782">
        <v>33</v>
      </c>
      <c r="D782" t="s">
        <v>89</v>
      </c>
      <c r="E782" t="s">
        <v>130</v>
      </c>
      <c r="F782" t="s">
        <v>56</v>
      </c>
      <c r="G782">
        <v>42331</v>
      </c>
      <c r="H782" s="1">
        <v>44892</v>
      </c>
      <c r="I782" t="s">
        <v>32</v>
      </c>
      <c r="J782" t="s">
        <v>33</v>
      </c>
      <c r="K782" t="s">
        <v>58</v>
      </c>
      <c r="L782">
        <v>2</v>
      </c>
      <c r="M782">
        <v>2</v>
      </c>
      <c r="N782">
        <v>3</v>
      </c>
      <c r="O782" t="s">
        <v>59</v>
      </c>
      <c r="P782" t="s">
        <v>36</v>
      </c>
      <c r="Q782">
        <v>183</v>
      </c>
      <c r="R782">
        <v>51</v>
      </c>
      <c r="S782">
        <v>3</v>
      </c>
      <c r="T782" t="s">
        <v>37</v>
      </c>
      <c r="U782" t="s">
        <v>36</v>
      </c>
      <c r="V782" t="s">
        <v>36</v>
      </c>
      <c r="W782" t="s">
        <v>60</v>
      </c>
      <c r="X782">
        <v>2022</v>
      </c>
      <c r="Y782" t="s">
        <v>123</v>
      </c>
      <c r="Z782" t="s">
        <v>40</v>
      </c>
      <c r="AA782" t="s">
        <v>41</v>
      </c>
    </row>
    <row r="783" spans="1:27" x14ac:dyDescent="0.3">
      <c r="A783" t="s">
        <v>902</v>
      </c>
      <c r="B783" t="s">
        <v>28</v>
      </c>
      <c r="C783">
        <v>22</v>
      </c>
      <c r="D783" t="s">
        <v>54</v>
      </c>
      <c r="E783" t="s">
        <v>153</v>
      </c>
      <c r="F783" t="s">
        <v>46</v>
      </c>
      <c r="G783">
        <v>70194</v>
      </c>
      <c r="H783" s="1">
        <v>44511</v>
      </c>
      <c r="I783" t="s">
        <v>32</v>
      </c>
      <c r="J783" t="s">
        <v>33</v>
      </c>
      <c r="K783" t="s">
        <v>49</v>
      </c>
      <c r="L783">
        <v>13</v>
      </c>
      <c r="M783">
        <v>4</v>
      </c>
      <c r="N783">
        <v>2</v>
      </c>
      <c r="O783" t="s">
        <v>50</v>
      </c>
      <c r="P783" t="s">
        <v>36</v>
      </c>
      <c r="Q783">
        <v>168</v>
      </c>
      <c r="R783">
        <v>26</v>
      </c>
      <c r="S783">
        <v>18</v>
      </c>
      <c r="T783" t="s">
        <v>37</v>
      </c>
      <c r="U783" t="s">
        <v>36</v>
      </c>
      <c r="V783" t="s">
        <v>36</v>
      </c>
      <c r="W783" t="s">
        <v>60</v>
      </c>
      <c r="X783">
        <v>2021</v>
      </c>
      <c r="Y783" t="s">
        <v>123</v>
      </c>
      <c r="Z783" t="s">
        <v>104</v>
      </c>
      <c r="AA783" t="s">
        <v>52</v>
      </c>
    </row>
    <row r="784" spans="1:27" x14ac:dyDescent="0.3">
      <c r="A784" t="s">
        <v>903</v>
      </c>
      <c r="B784" t="s">
        <v>28</v>
      </c>
      <c r="C784">
        <v>34</v>
      </c>
      <c r="D784" t="s">
        <v>29</v>
      </c>
      <c r="E784" t="s">
        <v>93</v>
      </c>
      <c r="F784" t="s">
        <v>46</v>
      </c>
      <c r="G784">
        <v>100909</v>
      </c>
      <c r="H784" s="1">
        <v>45199</v>
      </c>
      <c r="I784" t="s">
        <v>57</v>
      </c>
      <c r="J784" t="s">
        <v>48</v>
      </c>
      <c r="K784" t="s">
        <v>58</v>
      </c>
      <c r="L784">
        <v>12</v>
      </c>
      <c r="M784">
        <v>2</v>
      </c>
      <c r="N784">
        <v>2</v>
      </c>
      <c r="O784" t="s">
        <v>50</v>
      </c>
      <c r="P784" t="s">
        <v>37</v>
      </c>
      <c r="Q784">
        <v>253</v>
      </c>
      <c r="R784">
        <v>27</v>
      </c>
      <c r="S784">
        <v>19</v>
      </c>
      <c r="T784" t="s">
        <v>37</v>
      </c>
      <c r="U784" t="s">
        <v>36</v>
      </c>
      <c r="V784" t="s">
        <v>36</v>
      </c>
      <c r="W784" t="s">
        <v>126</v>
      </c>
      <c r="X784">
        <v>2023</v>
      </c>
      <c r="Y784" t="s">
        <v>51</v>
      </c>
      <c r="Z784" t="s">
        <v>40</v>
      </c>
      <c r="AA784" t="s">
        <v>87</v>
      </c>
    </row>
    <row r="785" spans="1:27" x14ac:dyDescent="0.3">
      <c r="A785" t="s">
        <v>904</v>
      </c>
      <c r="B785" t="s">
        <v>43</v>
      </c>
      <c r="C785">
        <v>36</v>
      </c>
      <c r="D785" t="s">
        <v>85</v>
      </c>
      <c r="E785" t="s">
        <v>168</v>
      </c>
      <c r="F785" t="s">
        <v>31</v>
      </c>
      <c r="G785">
        <v>50049</v>
      </c>
      <c r="H785" s="1">
        <v>44799</v>
      </c>
      <c r="I785" t="s">
        <v>57</v>
      </c>
      <c r="J785" t="s">
        <v>118</v>
      </c>
      <c r="K785" t="s">
        <v>58</v>
      </c>
      <c r="L785">
        <v>2</v>
      </c>
      <c r="M785">
        <v>2</v>
      </c>
      <c r="N785">
        <v>3</v>
      </c>
      <c r="O785" t="s">
        <v>68</v>
      </c>
      <c r="P785" t="s">
        <v>36</v>
      </c>
      <c r="Q785">
        <v>254</v>
      </c>
      <c r="R785">
        <v>11</v>
      </c>
      <c r="S785">
        <v>17</v>
      </c>
      <c r="T785" t="s">
        <v>37</v>
      </c>
      <c r="U785" t="s">
        <v>37</v>
      </c>
      <c r="V785" t="s">
        <v>36</v>
      </c>
      <c r="W785" t="s">
        <v>60</v>
      </c>
      <c r="X785">
        <v>2022</v>
      </c>
      <c r="Y785" t="s">
        <v>128</v>
      </c>
      <c r="Z785" t="s">
        <v>62</v>
      </c>
      <c r="AA785" t="s">
        <v>41</v>
      </c>
    </row>
    <row r="786" spans="1:27" x14ac:dyDescent="0.3">
      <c r="A786" t="s">
        <v>905</v>
      </c>
      <c r="B786" t="s">
        <v>28</v>
      </c>
      <c r="C786">
        <v>35</v>
      </c>
      <c r="D786" t="s">
        <v>65</v>
      </c>
      <c r="E786" t="s">
        <v>66</v>
      </c>
      <c r="F786" t="s">
        <v>96</v>
      </c>
      <c r="G786">
        <v>122216</v>
      </c>
      <c r="H786" s="1">
        <v>44183</v>
      </c>
      <c r="I786" t="s">
        <v>47</v>
      </c>
      <c r="J786" t="s">
        <v>73</v>
      </c>
      <c r="K786" t="s">
        <v>58</v>
      </c>
      <c r="L786">
        <v>15</v>
      </c>
      <c r="M786">
        <v>1</v>
      </c>
      <c r="N786">
        <v>2</v>
      </c>
      <c r="O786" t="s">
        <v>50</v>
      </c>
      <c r="P786" t="s">
        <v>37</v>
      </c>
      <c r="Q786">
        <v>231</v>
      </c>
      <c r="R786">
        <v>63</v>
      </c>
      <c r="S786">
        <v>18</v>
      </c>
      <c r="T786" t="s">
        <v>36</v>
      </c>
      <c r="U786" t="s">
        <v>37</v>
      </c>
      <c r="V786" t="s">
        <v>37</v>
      </c>
      <c r="W786" t="s">
        <v>38</v>
      </c>
      <c r="X786">
        <v>2020</v>
      </c>
      <c r="Y786" t="s">
        <v>116</v>
      </c>
      <c r="Z786" t="s">
        <v>40</v>
      </c>
      <c r="AA786" t="s">
        <v>87</v>
      </c>
    </row>
    <row r="787" spans="1:27" x14ac:dyDescent="0.3">
      <c r="A787" t="s">
        <v>906</v>
      </c>
      <c r="B787" t="s">
        <v>43</v>
      </c>
      <c r="C787">
        <v>39</v>
      </c>
      <c r="D787" t="s">
        <v>77</v>
      </c>
      <c r="E787" t="s">
        <v>133</v>
      </c>
      <c r="F787" t="s">
        <v>46</v>
      </c>
      <c r="G787">
        <v>104683</v>
      </c>
      <c r="H787" s="1">
        <v>45125</v>
      </c>
      <c r="I787" t="s">
        <v>57</v>
      </c>
      <c r="J787" t="s">
        <v>33</v>
      </c>
      <c r="K787" t="s">
        <v>58</v>
      </c>
      <c r="L787">
        <v>14</v>
      </c>
      <c r="M787">
        <v>3</v>
      </c>
      <c r="N787">
        <v>5</v>
      </c>
      <c r="O787" t="s">
        <v>50</v>
      </c>
      <c r="P787" t="s">
        <v>36</v>
      </c>
      <c r="Q787">
        <v>171</v>
      </c>
      <c r="R787">
        <v>43</v>
      </c>
      <c r="S787">
        <v>5</v>
      </c>
      <c r="T787" t="s">
        <v>36</v>
      </c>
      <c r="U787" t="s">
        <v>36</v>
      </c>
      <c r="V787" t="s">
        <v>36</v>
      </c>
      <c r="W787" t="s">
        <v>126</v>
      </c>
      <c r="X787">
        <v>2023</v>
      </c>
      <c r="Y787" t="s">
        <v>79</v>
      </c>
      <c r="Z787" t="s">
        <v>62</v>
      </c>
      <c r="AA787" t="s">
        <v>87</v>
      </c>
    </row>
    <row r="788" spans="1:27" x14ac:dyDescent="0.3">
      <c r="A788" t="s">
        <v>907</v>
      </c>
      <c r="B788" t="s">
        <v>43</v>
      </c>
      <c r="C788">
        <v>37</v>
      </c>
      <c r="D788" t="s">
        <v>77</v>
      </c>
      <c r="E788" t="s">
        <v>78</v>
      </c>
      <c r="F788" t="s">
        <v>46</v>
      </c>
      <c r="G788">
        <v>66564</v>
      </c>
      <c r="H788" s="1">
        <v>45461</v>
      </c>
      <c r="I788" t="s">
        <v>98</v>
      </c>
      <c r="J788" t="s">
        <v>73</v>
      </c>
      <c r="K788" t="s">
        <v>34</v>
      </c>
      <c r="L788">
        <v>10</v>
      </c>
      <c r="M788">
        <v>2</v>
      </c>
      <c r="N788">
        <v>1</v>
      </c>
      <c r="O788" t="s">
        <v>50</v>
      </c>
      <c r="P788" t="s">
        <v>37</v>
      </c>
      <c r="Q788">
        <v>205</v>
      </c>
      <c r="R788">
        <v>55</v>
      </c>
      <c r="S788">
        <v>9</v>
      </c>
      <c r="T788" t="s">
        <v>37</v>
      </c>
      <c r="U788" t="s">
        <v>36</v>
      </c>
      <c r="V788" t="s">
        <v>36</v>
      </c>
      <c r="W788" t="s">
        <v>60</v>
      </c>
      <c r="X788">
        <v>2024</v>
      </c>
      <c r="Y788" t="s">
        <v>61</v>
      </c>
      <c r="Z788" t="s">
        <v>62</v>
      </c>
      <c r="AA788" t="s">
        <v>52</v>
      </c>
    </row>
    <row r="789" spans="1:27" x14ac:dyDescent="0.3">
      <c r="A789" t="s">
        <v>908</v>
      </c>
      <c r="B789" t="s">
        <v>28</v>
      </c>
      <c r="C789">
        <v>35</v>
      </c>
      <c r="D789" t="s">
        <v>89</v>
      </c>
      <c r="E789" t="s">
        <v>144</v>
      </c>
      <c r="F789" t="s">
        <v>96</v>
      </c>
      <c r="G789">
        <v>142329</v>
      </c>
      <c r="H789" s="1">
        <v>45371</v>
      </c>
      <c r="I789" t="s">
        <v>32</v>
      </c>
      <c r="J789" t="s">
        <v>73</v>
      </c>
      <c r="K789" t="s">
        <v>34</v>
      </c>
      <c r="L789">
        <v>15</v>
      </c>
      <c r="M789">
        <v>3</v>
      </c>
      <c r="N789">
        <v>2</v>
      </c>
      <c r="O789" t="s">
        <v>35</v>
      </c>
      <c r="P789" t="s">
        <v>36</v>
      </c>
      <c r="Q789">
        <v>166</v>
      </c>
      <c r="R789">
        <v>42</v>
      </c>
      <c r="S789">
        <v>13</v>
      </c>
      <c r="T789" t="s">
        <v>37</v>
      </c>
      <c r="U789" t="s">
        <v>36</v>
      </c>
      <c r="V789" t="s">
        <v>36</v>
      </c>
      <c r="W789" t="s">
        <v>60</v>
      </c>
      <c r="X789">
        <v>2024</v>
      </c>
      <c r="Y789" t="s">
        <v>142</v>
      </c>
      <c r="Z789" t="s">
        <v>40</v>
      </c>
      <c r="AA789" t="s">
        <v>105</v>
      </c>
    </row>
    <row r="790" spans="1:27" x14ac:dyDescent="0.3">
      <c r="A790" t="s">
        <v>909</v>
      </c>
      <c r="B790" t="s">
        <v>43</v>
      </c>
      <c r="C790">
        <v>31</v>
      </c>
      <c r="D790" t="s">
        <v>77</v>
      </c>
      <c r="E790" t="s">
        <v>133</v>
      </c>
      <c r="F790" t="s">
        <v>56</v>
      </c>
      <c r="G790">
        <v>37632</v>
      </c>
      <c r="H790" s="1">
        <v>45565</v>
      </c>
      <c r="I790" t="s">
        <v>107</v>
      </c>
      <c r="J790" t="s">
        <v>33</v>
      </c>
      <c r="K790" t="s">
        <v>49</v>
      </c>
      <c r="L790">
        <v>2</v>
      </c>
      <c r="M790">
        <v>5</v>
      </c>
      <c r="N790">
        <v>4</v>
      </c>
      <c r="O790" t="s">
        <v>68</v>
      </c>
      <c r="P790" t="s">
        <v>37</v>
      </c>
      <c r="Q790">
        <v>258</v>
      </c>
      <c r="R790">
        <v>6</v>
      </c>
      <c r="S790">
        <v>5</v>
      </c>
      <c r="T790" t="s">
        <v>37</v>
      </c>
      <c r="U790" t="s">
        <v>36</v>
      </c>
      <c r="V790" t="s">
        <v>37</v>
      </c>
      <c r="W790" t="s">
        <v>38</v>
      </c>
      <c r="X790">
        <v>2024</v>
      </c>
      <c r="Y790" t="s">
        <v>51</v>
      </c>
      <c r="Z790" t="s">
        <v>40</v>
      </c>
      <c r="AA790" t="s">
        <v>63</v>
      </c>
    </row>
    <row r="791" spans="1:27" x14ac:dyDescent="0.3">
      <c r="A791" t="s">
        <v>910</v>
      </c>
      <c r="B791" t="s">
        <v>43</v>
      </c>
      <c r="C791">
        <v>21</v>
      </c>
      <c r="D791" t="s">
        <v>29</v>
      </c>
      <c r="E791" t="s">
        <v>103</v>
      </c>
      <c r="F791" t="s">
        <v>31</v>
      </c>
      <c r="G791">
        <v>62665</v>
      </c>
      <c r="H791" s="1">
        <v>44986</v>
      </c>
      <c r="I791" t="s">
        <v>107</v>
      </c>
      <c r="J791" t="s">
        <v>67</v>
      </c>
      <c r="K791" t="s">
        <v>49</v>
      </c>
      <c r="L791">
        <v>6</v>
      </c>
      <c r="M791">
        <v>1</v>
      </c>
      <c r="N791">
        <v>4</v>
      </c>
      <c r="O791" t="s">
        <v>35</v>
      </c>
      <c r="P791" t="s">
        <v>36</v>
      </c>
      <c r="Q791">
        <v>192</v>
      </c>
      <c r="R791">
        <v>71</v>
      </c>
      <c r="S791">
        <v>20</v>
      </c>
      <c r="T791" t="s">
        <v>37</v>
      </c>
      <c r="U791" t="s">
        <v>36</v>
      </c>
      <c r="V791" t="s">
        <v>36</v>
      </c>
      <c r="W791" t="s">
        <v>126</v>
      </c>
      <c r="X791">
        <v>2023</v>
      </c>
      <c r="Y791" t="s">
        <v>142</v>
      </c>
      <c r="Z791" t="s">
        <v>104</v>
      </c>
      <c r="AA791" t="s">
        <v>52</v>
      </c>
    </row>
    <row r="792" spans="1:27" x14ac:dyDescent="0.3">
      <c r="A792" t="s">
        <v>911</v>
      </c>
      <c r="B792" t="s">
        <v>43</v>
      </c>
      <c r="C792">
        <v>35</v>
      </c>
      <c r="D792" t="s">
        <v>77</v>
      </c>
      <c r="E792" t="s">
        <v>182</v>
      </c>
      <c r="F792" t="s">
        <v>56</v>
      </c>
      <c r="G792">
        <v>33024</v>
      </c>
      <c r="H792" s="1">
        <v>44818</v>
      </c>
      <c r="I792" t="s">
        <v>47</v>
      </c>
      <c r="J792" t="s">
        <v>67</v>
      </c>
      <c r="K792" t="s">
        <v>49</v>
      </c>
      <c r="L792">
        <v>3</v>
      </c>
      <c r="M792">
        <v>4</v>
      </c>
      <c r="N792">
        <v>3</v>
      </c>
      <c r="O792" t="s">
        <v>68</v>
      </c>
      <c r="P792" t="s">
        <v>37</v>
      </c>
      <c r="Q792">
        <v>168</v>
      </c>
      <c r="R792">
        <v>10</v>
      </c>
      <c r="S792">
        <v>3</v>
      </c>
      <c r="T792" t="s">
        <v>36</v>
      </c>
      <c r="U792" t="s">
        <v>36</v>
      </c>
      <c r="V792" t="s">
        <v>37</v>
      </c>
      <c r="W792" t="s">
        <v>38</v>
      </c>
      <c r="X792">
        <v>2022</v>
      </c>
      <c r="Y792" t="s">
        <v>51</v>
      </c>
      <c r="Z792" t="s">
        <v>40</v>
      </c>
      <c r="AA792" t="s">
        <v>63</v>
      </c>
    </row>
    <row r="793" spans="1:27" x14ac:dyDescent="0.3">
      <c r="A793" t="s">
        <v>912</v>
      </c>
      <c r="B793" t="s">
        <v>28</v>
      </c>
      <c r="C793">
        <v>33</v>
      </c>
      <c r="D793" t="s">
        <v>85</v>
      </c>
      <c r="E793" t="s">
        <v>168</v>
      </c>
      <c r="F793" t="s">
        <v>96</v>
      </c>
      <c r="G793">
        <v>115383</v>
      </c>
      <c r="H793" s="1">
        <v>44087</v>
      </c>
      <c r="I793" t="s">
        <v>57</v>
      </c>
      <c r="J793" t="s">
        <v>73</v>
      </c>
      <c r="K793" t="s">
        <v>58</v>
      </c>
      <c r="L793">
        <v>14</v>
      </c>
      <c r="M793">
        <v>4</v>
      </c>
      <c r="N793">
        <v>5</v>
      </c>
      <c r="O793" t="s">
        <v>50</v>
      </c>
      <c r="P793" t="s">
        <v>36</v>
      </c>
      <c r="Q793">
        <v>182</v>
      </c>
      <c r="R793">
        <v>66</v>
      </c>
      <c r="S793">
        <v>27</v>
      </c>
      <c r="T793" t="s">
        <v>37</v>
      </c>
      <c r="U793" t="s">
        <v>36</v>
      </c>
      <c r="V793" t="s">
        <v>37</v>
      </c>
      <c r="W793" t="s">
        <v>38</v>
      </c>
      <c r="X793">
        <v>2020</v>
      </c>
      <c r="Y793" t="s">
        <v>51</v>
      </c>
      <c r="Z793" t="s">
        <v>40</v>
      </c>
      <c r="AA793" t="s">
        <v>87</v>
      </c>
    </row>
    <row r="794" spans="1:27" x14ac:dyDescent="0.3">
      <c r="A794" t="s">
        <v>913</v>
      </c>
      <c r="B794" t="s">
        <v>28</v>
      </c>
      <c r="C794">
        <v>33</v>
      </c>
      <c r="D794" t="s">
        <v>89</v>
      </c>
      <c r="E794" t="s">
        <v>90</v>
      </c>
      <c r="F794" t="s">
        <v>96</v>
      </c>
      <c r="G794">
        <v>104973</v>
      </c>
      <c r="H794" s="1">
        <v>46207</v>
      </c>
      <c r="I794" t="s">
        <v>107</v>
      </c>
      <c r="J794" t="s">
        <v>91</v>
      </c>
      <c r="K794" t="s">
        <v>34</v>
      </c>
      <c r="L794">
        <v>9</v>
      </c>
      <c r="M794">
        <v>4</v>
      </c>
      <c r="N794">
        <v>3</v>
      </c>
      <c r="O794" t="s">
        <v>50</v>
      </c>
      <c r="P794" t="s">
        <v>36</v>
      </c>
      <c r="Q794">
        <v>243</v>
      </c>
      <c r="R794">
        <v>72</v>
      </c>
      <c r="S794">
        <v>6</v>
      </c>
      <c r="T794" t="s">
        <v>36</v>
      </c>
      <c r="U794" t="s">
        <v>36</v>
      </c>
      <c r="V794" t="s">
        <v>36</v>
      </c>
      <c r="W794" t="s">
        <v>60</v>
      </c>
      <c r="X794">
        <v>2026</v>
      </c>
      <c r="Y794" t="s">
        <v>79</v>
      </c>
      <c r="Z794" t="s">
        <v>40</v>
      </c>
      <c r="AA794" t="s">
        <v>87</v>
      </c>
    </row>
    <row r="795" spans="1:27" x14ac:dyDescent="0.3">
      <c r="A795" t="s">
        <v>914</v>
      </c>
      <c r="B795" t="s">
        <v>28</v>
      </c>
      <c r="C795">
        <v>23</v>
      </c>
      <c r="D795" t="s">
        <v>44</v>
      </c>
      <c r="E795" t="s">
        <v>219</v>
      </c>
      <c r="F795" t="s">
        <v>96</v>
      </c>
      <c r="G795">
        <v>153359</v>
      </c>
      <c r="H795" s="1">
        <v>44810</v>
      </c>
      <c r="I795" t="s">
        <v>98</v>
      </c>
      <c r="J795" t="s">
        <v>67</v>
      </c>
      <c r="K795" t="s">
        <v>49</v>
      </c>
      <c r="L795">
        <v>12</v>
      </c>
      <c r="M795">
        <v>5</v>
      </c>
      <c r="N795">
        <v>3</v>
      </c>
      <c r="O795" t="s">
        <v>35</v>
      </c>
      <c r="P795" t="s">
        <v>36</v>
      </c>
      <c r="Q795">
        <v>242</v>
      </c>
      <c r="R795">
        <v>23</v>
      </c>
      <c r="S795">
        <v>19</v>
      </c>
      <c r="T795" t="s">
        <v>37</v>
      </c>
      <c r="U795" t="s">
        <v>36</v>
      </c>
      <c r="V795" t="s">
        <v>37</v>
      </c>
      <c r="W795" t="s">
        <v>38</v>
      </c>
      <c r="X795">
        <v>2022</v>
      </c>
      <c r="Y795" t="s">
        <v>51</v>
      </c>
      <c r="Z795" t="s">
        <v>104</v>
      </c>
      <c r="AA795" t="s">
        <v>105</v>
      </c>
    </row>
    <row r="796" spans="1:27" x14ac:dyDescent="0.3">
      <c r="A796" t="s">
        <v>915</v>
      </c>
      <c r="B796" t="s">
        <v>28</v>
      </c>
      <c r="C796">
        <v>24</v>
      </c>
      <c r="D796" t="s">
        <v>44</v>
      </c>
      <c r="E796" t="s">
        <v>45</v>
      </c>
      <c r="F796" t="s">
        <v>31</v>
      </c>
      <c r="G796">
        <v>45230</v>
      </c>
      <c r="H796" s="1">
        <v>45686</v>
      </c>
      <c r="I796" t="s">
        <v>107</v>
      </c>
      <c r="J796" t="s">
        <v>67</v>
      </c>
      <c r="K796" t="s">
        <v>58</v>
      </c>
      <c r="L796">
        <v>7</v>
      </c>
      <c r="M796">
        <v>5</v>
      </c>
      <c r="N796">
        <v>3</v>
      </c>
      <c r="O796" t="s">
        <v>68</v>
      </c>
      <c r="P796" t="s">
        <v>36</v>
      </c>
      <c r="Q796">
        <v>245</v>
      </c>
      <c r="R796">
        <v>25</v>
      </c>
      <c r="S796">
        <v>21</v>
      </c>
      <c r="T796" t="s">
        <v>36</v>
      </c>
      <c r="U796" t="s">
        <v>36</v>
      </c>
      <c r="V796" t="s">
        <v>36</v>
      </c>
      <c r="W796" t="s">
        <v>60</v>
      </c>
      <c r="X796">
        <v>2025</v>
      </c>
      <c r="Y796" t="s">
        <v>94</v>
      </c>
      <c r="Z796" t="s">
        <v>104</v>
      </c>
      <c r="AA796" t="s">
        <v>41</v>
      </c>
    </row>
    <row r="797" spans="1:27" x14ac:dyDescent="0.3">
      <c r="A797" t="s">
        <v>916</v>
      </c>
      <c r="B797" t="s">
        <v>43</v>
      </c>
      <c r="C797">
        <v>39</v>
      </c>
      <c r="D797" t="s">
        <v>29</v>
      </c>
      <c r="E797" t="s">
        <v>122</v>
      </c>
      <c r="F797" t="s">
        <v>96</v>
      </c>
      <c r="G797">
        <v>146645</v>
      </c>
      <c r="H797" s="1">
        <v>45162</v>
      </c>
      <c r="I797" t="s">
        <v>47</v>
      </c>
      <c r="J797" t="s">
        <v>101</v>
      </c>
      <c r="K797" t="s">
        <v>49</v>
      </c>
      <c r="L797">
        <v>10</v>
      </c>
      <c r="M797">
        <v>4</v>
      </c>
      <c r="N797">
        <v>1</v>
      </c>
      <c r="O797" t="s">
        <v>68</v>
      </c>
      <c r="P797" t="s">
        <v>36</v>
      </c>
      <c r="Q797">
        <v>197</v>
      </c>
      <c r="R797">
        <v>56</v>
      </c>
      <c r="S797">
        <v>15</v>
      </c>
      <c r="T797" t="s">
        <v>37</v>
      </c>
      <c r="U797" t="s">
        <v>37</v>
      </c>
      <c r="V797" t="s">
        <v>36</v>
      </c>
      <c r="W797" t="s">
        <v>60</v>
      </c>
      <c r="X797">
        <v>2023</v>
      </c>
      <c r="Y797" t="s">
        <v>128</v>
      </c>
      <c r="Z797" t="s">
        <v>62</v>
      </c>
      <c r="AA797" t="s">
        <v>105</v>
      </c>
    </row>
    <row r="798" spans="1:27" x14ac:dyDescent="0.3">
      <c r="A798" t="s">
        <v>917</v>
      </c>
      <c r="B798" t="s">
        <v>28</v>
      </c>
      <c r="C798">
        <v>31</v>
      </c>
      <c r="D798" t="s">
        <v>85</v>
      </c>
      <c r="E798" t="s">
        <v>151</v>
      </c>
      <c r="F798" t="s">
        <v>31</v>
      </c>
      <c r="G798">
        <v>61594</v>
      </c>
      <c r="H798" s="1">
        <v>45896</v>
      </c>
      <c r="I798" t="s">
        <v>57</v>
      </c>
      <c r="J798" t="s">
        <v>73</v>
      </c>
      <c r="K798" t="s">
        <v>34</v>
      </c>
      <c r="L798">
        <v>4</v>
      </c>
      <c r="M798">
        <v>4</v>
      </c>
      <c r="N798">
        <v>1</v>
      </c>
      <c r="O798" t="s">
        <v>59</v>
      </c>
      <c r="P798" t="s">
        <v>37</v>
      </c>
      <c r="Q798">
        <v>160</v>
      </c>
      <c r="R798">
        <v>68</v>
      </c>
      <c r="S798">
        <v>30</v>
      </c>
      <c r="T798" t="s">
        <v>37</v>
      </c>
      <c r="U798" t="s">
        <v>37</v>
      </c>
      <c r="V798" t="s">
        <v>36</v>
      </c>
      <c r="W798" t="s">
        <v>60</v>
      </c>
      <c r="X798">
        <v>2025</v>
      </c>
      <c r="Y798" t="s">
        <v>128</v>
      </c>
      <c r="Z798" t="s">
        <v>40</v>
      </c>
      <c r="AA798" t="s">
        <v>52</v>
      </c>
    </row>
    <row r="799" spans="1:27" x14ac:dyDescent="0.3">
      <c r="A799" t="s">
        <v>918</v>
      </c>
      <c r="B799" t="s">
        <v>28</v>
      </c>
      <c r="C799">
        <v>36</v>
      </c>
      <c r="D799" t="s">
        <v>29</v>
      </c>
      <c r="E799" t="s">
        <v>122</v>
      </c>
      <c r="F799" t="s">
        <v>31</v>
      </c>
      <c r="G799">
        <v>43071</v>
      </c>
      <c r="H799" s="1">
        <v>44659</v>
      </c>
      <c r="I799" t="s">
        <v>107</v>
      </c>
      <c r="J799" t="s">
        <v>91</v>
      </c>
      <c r="K799" t="s">
        <v>58</v>
      </c>
      <c r="L799">
        <v>3</v>
      </c>
      <c r="M799">
        <v>3</v>
      </c>
      <c r="N799">
        <v>3</v>
      </c>
      <c r="O799" t="s">
        <v>35</v>
      </c>
      <c r="P799" t="s">
        <v>36</v>
      </c>
      <c r="Q799">
        <v>223</v>
      </c>
      <c r="R799">
        <v>79</v>
      </c>
      <c r="S799">
        <v>4</v>
      </c>
      <c r="T799" t="s">
        <v>37</v>
      </c>
      <c r="U799" t="s">
        <v>37</v>
      </c>
      <c r="V799" t="s">
        <v>37</v>
      </c>
      <c r="W799" t="s">
        <v>38</v>
      </c>
      <c r="X799">
        <v>2022</v>
      </c>
      <c r="Y799" t="s">
        <v>69</v>
      </c>
      <c r="Z799" t="s">
        <v>62</v>
      </c>
      <c r="AA799" t="s">
        <v>41</v>
      </c>
    </row>
    <row r="800" spans="1:27" x14ac:dyDescent="0.3">
      <c r="A800" t="s">
        <v>919</v>
      </c>
      <c r="B800" t="s">
        <v>28</v>
      </c>
      <c r="C800">
        <v>32</v>
      </c>
      <c r="D800" t="s">
        <v>44</v>
      </c>
      <c r="E800" t="s">
        <v>115</v>
      </c>
      <c r="F800" t="s">
        <v>96</v>
      </c>
      <c r="G800">
        <v>154272</v>
      </c>
      <c r="H800" s="1">
        <v>44560</v>
      </c>
      <c r="I800" t="s">
        <v>107</v>
      </c>
      <c r="J800" t="s">
        <v>73</v>
      </c>
      <c r="K800" t="s">
        <v>58</v>
      </c>
      <c r="L800">
        <v>9</v>
      </c>
      <c r="M800">
        <v>5</v>
      </c>
      <c r="N800">
        <v>3</v>
      </c>
      <c r="O800" t="s">
        <v>59</v>
      </c>
      <c r="P800" t="s">
        <v>36</v>
      </c>
      <c r="Q800">
        <v>257</v>
      </c>
      <c r="R800">
        <v>38</v>
      </c>
      <c r="S800">
        <v>7</v>
      </c>
      <c r="T800" t="s">
        <v>36</v>
      </c>
      <c r="U800" t="s">
        <v>37</v>
      </c>
      <c r="V800" t="s">
        <v>36</v>
      </c>
      <c r="W800" t="s">
        <v>60</v>
      </c>
      <c r="X800">
        <v>2021</v>
      </c>
      <c r="Y800" t="s">
        <v>116</v>
      </c>
      <c r="Z800" t="s">
        <v>40</v>
      </c>
      <c r="AA800" t="s">
        <v>105</v>
      </c>
    </row>
    <row r="801" spans="1:27" x14ac:dyDescent="0.3">
      <c r="A801" t="s">
        <v>920</v>
      </c>
      <c r="B801" t="s">
        <v>43</v>
      </c>
      <c r="C801">
        <v>32</v>
      </c>
      <c r="D801" t="s">
        <v>44</v>
      </c>
      <c r="E801" t="s">
        <v>109</v>
      </c>
      <c r="F801" t="s">
        <v>56</v>
      </c>
      <c r="G801">
        <v>40890</v>
      </c>
      <c r="H801" s="1">
        <v>46189</v>
      </c>
      <c r="I801" t="s">
        <v>47</v>
      </c>
      <c r="J801" t="s">
        <v>118</v>
      </c>
      <c r="K801" t="s">
        <v>58</v>
      </c>
      <c r="L801">
        <v>2</v>
      </c>
      <c r="M801">
        <v>2</v>
      </c>
      <c r="N801">
        <v>4</v>
      </c>
      <c r="O801" t="s">
        <v>50</v>
      </c>
      <c r="P801" t="s">
        <v>36</v>
      </c>
      <c r="Q801">
        <v>195</v>
      </c>
      <c r="R801">
        <v>46</v>
      </c>
      <c r="S801">
        <v>8</v>
      </c>
      <c r="T801" t="s">
        <v>37</v>
      </c>
      <c r="U801" t="s">
        <v>36</v>
      </c>
      <c r="V801" t="s">
        <v>36</v>
      </c>
      <c r="W801" t="s">
        <v>126</v>
      </c>
      <c r="X801">
        <v>2026</v>
      </c>
      <c r="Y801" t="s">
        <v>61</v>
      </c>
      <c r="Z801" t="s">
        <v>40</v>
      </c>
      <c r="AA801" t="s">
        <v>41</v>
      </c>
    </row>
    <row r="802" spans="1:27" x14ac:dyDescent="0.3">
      <c r="A802" t="s">
        <v>921</v>
      </c>
      <c r="B802" t="s">
        <v>28</v>
      </c>
      <c r="C802">
        <v>38</v>
      </c>
      <c r="D802" t="s">
        <v>85</v>
      </c>
      <c r="E802" t="s">
        <v>86</v>
      </c>
      <c r="F802" t="s">
        <v>56</v>
      </c>
      <c r="G802">
        <v>29925</v>
      </c>
      <c r="H802" s="1">
        <v>44070</v>
      </c>
      <c r="I802" t="s">
        <v>107</v>
      </c>
      <c r="J802" t="s">
        <v>91</v>
      </c>
      <c r="K802" t="s">
        <v>34</v>
      </c>
      <c r="L802">
        <v>0</v>
      </c>
      <c r="M802">
        <v>1</v>
      </c>
      <c r="N802">
        <v>4</v>
      </c>
      <c r="O802" t="s">
        <v>68</v>
      </c>
      <c r="P802" t="s">
        <v>37</v>
      </c>
      <c r="Q802">
        <v>169</v>
      </c>
      <c r="R802">
        <v>66</v>
      </c>
      <c r="S802">
        <v>15</v>
      </c>
      <c r="T802" t="s">
        <v>36</v>
      </c>
      <c r="U802" t="s">
        <v>37</v>
      </c>
      <c r="V802" t="s">
        <v>36</v>
      </c>
      <c r="W802" t="s">
        <v>60</v>
      </c>
      <c r="X802">
        <v>2020</v>
      </c>
      <c r="Y802" t="s">
        <v>128</v>
      </c>
      <c r="Z802" t="s">
        <v>62</v>
      </c>
      <c r="AA802" t="s">
        <v>63</v>
      </c>
    </row>
    <row r="803" spans="1:27" x14ac:dyDescent="0.3">
      <c r="A803" t="s">
        <v>922</v>
      </c>
      <c r="B803" t="s">
        <v>43</v>
      </c>
      <c r="C803">
        <v>28</v>
      </c>
      <c r="D803" t="s">
        <v>44</v>
      </c>
      <c r="E803" t="s">
        <v>45</v>
      </c>
      <c r="F803" t="s">
        <v>56</v>
      </c>
      <c r="G803">
        <v>39934</v>
      </c>
      <c r="H803" s="1">
        <v>45066</v>
      </c>
      <c r="I803" t="s">
        <v>107</v>
      </c>
      <c r="J803" t="s">
        <v>118</v>
      </c>
      <c r="K803" t="s">
        <v>58</v>
      </c>
      <c r="L803">
        <v>1</v>
      </c>
      <c r="M803">
        <v>2</v>
      </c>
      <c r="N803">
        <v>3</v>
      </c>
      <c r="O803" t="s">
        <v>59</v>
      </c>
      <c r="P803" t="s">
        <v>37</v>
      </c>
      <c r="Q803">
        <v>156</v>
      </c>
      <c r="R803">
        <v>64</v>
      </c>
      <c r="S803">
        <v>23</v>
      </c>
      <c r="T803" t="s">
        <v>36</v>
      </c>
      <c r="U803" t="s">
        <v>37</v>
      </c>
      <c r="V803" t="s">
        <v>36</v>
      </c>
      <c r="W803" t="s">
        <v>60</v>
      </c>
      <c r="X803">
        <v>2023</v>
      </c>
      <c r="Y803" t="s">
        <v>74</v>
      </c>
      <c r="Z803" t="s">
        <v>75</v>
      </c>
      <c r="AA803" t="s">
        <v>63</v>
      </c>
    </row>
    <row r="804" spans="1:27" x14ac:dyDescent="0.3">
      <c r="A804" t="s">
        <v>923</v>
      </c>
      <c r="B804" t="s">
        <v>43</v>
      </c>
      <c r="C804">
        <v>32</v>
      </c>
      <c r="D804" t="s">
        <v>85</v>
      </c>
      <c r="E804" t="s">
        <v>151</v>
      </c>
      <c r="F804" t="s">
        <v>96</v>
      </c>
      <c r="G804">
        <v>131259</v>
      </c>
      <c r="H804" s="1">
        <v>45786</v>
      </c>
      <c r="I804" t="s">
        <v>107</v>
      </c>
      <c r="J804" t="s">
        <v>73</v>
      </c>
      <c r="K804" t="s">
        <v>58</v>
      </c>
      <c r="L804">
        <v>20</v>
      </c>
      <c r="M804">
        <v>2</v>
      </c>
      <c r="N804">
        <v>1</v>
      </c>
      <c r="O804" t="s">
        <v>68</v>
      </c>
      <c r="P804" t="s">
        <v>37</v>
      </c>
      <c r="Q804">
        <v>182</v>
      </c>
      <c r="R804">
        <v>35</v>
      </c>
      <c r="S804">
        <v>18</v>
      </c>
      <c r="T804" t="s">
        <v>36</v>
      </c>
      <c r="U804" t="s">
        <v>36</v>
      </c>
      <c r="V804" t="s">
        <v>37</v>
      </c>
      <c r="W804" t="s">
        <v>38</v>
      </c>
      <c r="X804">
        <v>2025</v>
      </c>
      <c r="Y804" t="s">
        <v>74</v>
      </c>
      <c r="Z804" t="s">
        <v>40</v>
      </c>
      <c r="AA804" t="s">
        <v>105</v>
      </c>
    </row>
    <row r="805" spans="1:27" x14ac:dyDescent="0.3">
      <c r="A805" t="s">
        <v>924</v>
      </c>
      <c r="B805" t="s">
        <v>43</v>
      </c>
      <c r="C805">
        <v>28</v>
      </c>
      <c r="D805" t="s">
        <v>81</v>
      </c>
      <c r="E805" t="s">
        <v>113</v>
      </c>
      <c r="F805" t="s">
        <v>31</v>
      </c>
      <c r="G805">
        <v>55692</v>
      </c>
      <c r="H805" s="1">
        <v>43503</v>
      </c>
      <c r="I805" t="s">
        <v>47</v>
      </c>
      <c r="J805" t="s">
        <v>33</v>
      </c>
      <c r="K805" t="s">
        <v>58</v>
      </c>
      <c r="L805">
        <v>2</v>
      </c>
      <c r="M805">
        <v>3</v>
      </c>
      <c r="N805">
        <v>3</v>
      </c>
      <c r="O805" t="s">
        <v>68</v>
      </c>
      <c r="P805" t="s">
        <v>36</v>
      </c>
      <c r="Q805">
        <v>197</v>
      </c>
      <c r="R805">
        <v>47</v>
      </c>
      <c r="S805">
        <v>23</v>
      </c>
      <c r="T805" t="s">
        <v>36</v>
      </c>
      <c r="U805" t="s">
        <v>36</v>
      </c>
      <c r="V805" t="s">
        <v>37</v>
      </c>
      <c r="W805" t="s">
        <v>38</v>
      </c>
      <c r="X805">
        <v>2019</v>
      </c>
      <c r="Y805" t="s">
        <v>39</v>
      </c>
      <c r="Z805" t="s">
        <v>75</v>
      </c>
      <c r="AA805" t="s">
        <v>41</v>
      </c>
    </row>
    <row r="806" spans="1:27" x14ac:dyDescent="0.3">
      <c r="A806" t="s">
        <v>925</v>
      </c>
      <c r="B806" t="s">
        <v>43</v>
      </c>
      <c r="C806">
        <v>28</v>
      </c>
      <c r="D806" t="s">
        <v>77</v>
      </c>
      <c r="E806" t="s">
        <v>138</v>
      </c>
      <c r="F806" t="s">
        <v>96</v>
      </c>
      <c r="G806">
        <v>95167</v>
      </c>
      <c r="H806" s="1">
        <v>45886</v>
      </c>
      <c r="I806" t="s">
        <v>107</v>
      </c>
      <c r="J806" t="s">
        <v>99</v>
      </c>
      <c r="K806" t="s">
        <v>49</v>
      </c>
      <c r="L806">
        <v>15</v>
      </c>
      <c r="M806">
        <v>5</v>
      </c>
      <c r="N806">
        <v>3</v>
      </c>
      <c r="O806" t="s">
        <v>35</v>
      </c>
      <c r="P806" t="s">
        <v>36</v>
      </c>
      <c r="Q806">
        <v>246</v>
      </c>
      <c r="R806">
        <v>65</v>
      </c>
      <c r="S806">
        <v>28</v>
      </c>
      <c r="T806" t="s">
        <v>36</v>
      </c>
      <c r="U806" t="s">
        <v>36</v>
      </c>
      <c r="V806" t="s">
        <v>37</v>
      </c>
      <c r="W806" t="s">
        <v>38</v>
      </c>
      <c r="X806">
        <v>2025</v>
      </c>
      <c r="Y806" t="s">
        <v>128</v>
      </c>
      <c r="Z806" t="s">
        <v>75</v>
      </c>
      <c r="AA806" t="s">
        <v>87</v>
      </c>
    </row>
    <row r="807" spans="1:27" x14ac:dyDescent="0.3">
      <c r="A807" t="s">
        <v>926</v>
      </c>
      <c r="B807" t="s">
        <v>43</v>
      </c>
      <c r="C807">
        <v>29</v>
      </c>
      <c r="D807" t="s">
        <v>44</v>
      </c>
      <c r="E807" t="s">
        <v>109</v>
      </c>
      <c r="F807" t="s">
        <v>31</v>
      </c>
      <c r="G807">
        <v>56721</v>
      </c>
      <c r="H807" s="1">
        <v>44695</v>
      </c>
      <c r="I807" t="s">
        <v>57</v>
      </c>
      <c r="J807" t="s">
        <v>33</v>
      </c>
      <c r="K807" t="s">
        <v>58</v>
      </c>
      <c r="L807">
        <v>4</v>
      </c>
      <c r="M807">
        <v>1</v>
      </c>
      <c r="N807">
        <v>2</v>
      </c>
      <c r="O807" t="s">
        <v>68</v>
      </c>
      <c r="P807" t="s">
        <v>36</v>
      </c>
      <c r="Q807">
        <v>224</v>
      </c>
      <c r="R807">
        <v>62</v>
      </c>
      <c r="S807">
        <v>9</v>
      </c>
      <c r="T807" t="s">
        <v>36</v>
      </c>
      <c r="U807" t="s">
        <v>36</v>
      </c>
      <c r="V807" t="s">
        <v>36</v>
      </c>
      <c r="W807" t="s">
        <v>60</v>
      </c>
      <c r="X807">
        <v>2022</v>
      </c>
      <c r="Y807" t="s">
        <v>74</v>
      </c>
      <c r="Z807" t="s">
        <v>75</v>
      </c>
      <c r="AA807" t="s">
        <v>41</v>
      </c>
    </row>
    <row r="808" spans="1:27" x14ac:dyDescent="0.3">
      <c r="A808" t="s">
        <v>927</v>
      </c>
      <c r="B808" t="s">
        <v>43</v>
      </c>
      <c r="C808">
        <v>33</v>
      </c>
      <c r="D808" t="s">
        <v>29</v>
      </c>
      <c r="E808" t="s">
        <v>103</v>
      </c>
      <c r="F808" t="s">
        <v>46</v>
      </c>
      <c r="G808">
        <v>100078</v>
      </c>
      <c r="H808" s="1">
        <v>45173</v>
      </c>
      <c r="I808" t="s">
        <v>57</v>
      </c>
      <c r="J808" t="s">
        <v>101</v>
      </c>
      <c r="K808" t="s">
        <v>34</v>
      </c>
      <c r="L808">
        <v>13</v>
      </c>
      <c r="M808">
        <v>1</v>
      </c>
      <c r="N808">
        <v>5</v>
      </c>
      <c r="O808" t="s">
        <v>68</v>
      </c>
      <c r="P808" t="s">
        <v>36</v>
      </c>
      <c r="Q808">
        <v>251</v>
      </c>
      <c r="R808">
        <v>73</v>
      </c>
      <c r="S808">
        <v>23</v>
      </c>
      <c r="T808" t="s">
        <v>36</v>
      </c>
      <c r="U808" t="s">
        <v>36</v>
      </c>
      <c r="V808" t="s">
        <v>36</v>
      </c>
      <c r="W808" t="s">
        <v>60</v>
      </c>
      <c r="X808">
        <v>2023</v>
      </c>
      <c r="Y808" t="s">
        <v>51</v>
      </c>
      <c r="Z808" t="s">
        <v>40</v>
      </c>
      <c r="AA808" t="s">
        <v>87</v>
      </c>
    </row>
    <row r="809" spans="1:27" x14ac:dyDescent="0.3">
      <c r="A809" t="s">
        <v>928</v>
      </c>
      <c r="B809" t="s">
        <v>28</v>
      </c>
      <c r="C809">
        <v>28</v>
      </c>
      <c r="D809" t="s">
        <v>44</v>
      </c>
      <c r="E809" t="s">
        <v>45</v>
      </c>
      <c r="F809" t="s">
        <v>46</v>
      </c>
      <c r="G809">
        <v>76615</v>
      </c>
      <c r="H809" s="1">
        <v>46153</v>
      </c>
      <c r="I809" t="s">
        <v>32</v>
      </c>
      <c r="J809" t="s">
        <v>101</v>
      </c>
      <c r="K809" t="s">
        <v>58</v>
      </c>
      <c r="L809">
        <v>13</v>
      </c>
      <c r="M809">
        <v>2</v>
      </c>
      <c r="N809">
        <v>1</v>
      </c>
      <c r="O809" t="s">
        <v>35</v>
      </c>
      <c r="P809" t="s">
        <v>36</v>
      </c>
      <c r="Q809">
        <v>204</v>
      </c>
      <c r="R809">
        <v>21</v>
      </c>
      <c r="S809">
        <v>25</v>
      </c>
      <c r="T809" t="s">
        <v>36</v>
      </c>
      <c r="U809" t="s">
        <v>37</v>
      </c>
      <c r="V809" t="s">
        <v>36</v>
      </c>
      <c r="W809" t="s">
        <v>60</v>
      </c>
      <c r="X809">
        <v>2026</v>
      </c>
      <c r="Y809" t="s">
        <v>74</v>
      </c>
      <c r="Z809" t="s">
        <v>75</v>
      </c>
      <c r="AA809" t="s">
        <v>52</v>
      </c>
    </row>
    <row r="810" spans="1:27" x14ac:dyDescent="0.3">
      <c r="A810" t="s">
        <v>929</v>
      </c>
      <c r="B810" t="s">
        <v>28</v>
      </c>
      <c r="C810">
        <v>40</v>
      </c>
      <c r="D810" t="s">
        <v>81</v>
      </c>
      <c r="E810" t="s">
        <v>82</v>
      </c>
      <c r="F810" t="s">
        <v>96</v>
      </c>
      <c r="G810">
        <v>111215</v>
      </c>
      <c r="H810" s="1">
        <v>44301</v>
      </c>
      <c r="I810" t="s">
        <v>98</v>
      </c>
      <c r="J810" t="s">
        <v>48</v>
      </c>
      <c r="K810" t="s">
        <v>58</v>
      </c>
      <c r="L810">
        <v>14</v>
      </c>
      <c r="M810">
        <v>2</v>
      </c>
      <c r="N810">
        <v>3</v>
      </c>
      <c r="O810" t="s">
        <v>68</v>
      </c>
      <c r="P810" t="s">
        <v>37</v>
      </c>
      <c r="Q810">
        <v>247</v>
      </c>
      <c r="R810">
        <v>20</v>
      </c>
      <c r="S810">
        <v>29</v>
      </c>
      <c r="T810" t="s">
        <v>37</v>
      </c>
      <c r="U810" t="s">
        <v>36</v>
      </c>
      <c r="V810" t="s">
        <v>36</v>
      </c>
      <c r="W810" t="s">
        <v>60</v>
      </c>
      <c r="X810">
        <v>2021</v>
      </c>
      <c r="Y810" t="s">
        <v>69</v>
      </c>
      <c r="Z810" t="s">
        <v>62</v>
      </c>
      <c r="AA810" t="s">
        <v>87</v>
      </c>
    </row>
    <row r="811" spans="1:27" x14ac:dyDescent="0.3">
      <c r="A811" t="s">
        <v>930</v>
      </c>
      <c r="B811" t="s">
        <v>28</v>
      </c>
      <c r="C811">
        <v>25</v>
      </c>
      <c r="D811" t="s">
        <v>81</v>
      </c>
      <c r="E811" t="s">
        <v>113</v>
      </c>
      <c r="F811" t="s">
        <v>56</v>
      </c>
      <c r="G811">
        <v>42787</v>
      </c>
      <c r="H811" s="1">
        <v>43963</v>
      </c>
      <c r="I811" t="s">
        <v>98</v>
      </c>
      <c r="J811" t="s">
        <v>67</v>
      </c>
      <c r="K811" t="s">
        <v>58</v>
      </c>
      <c r="L811">
        <v>2</v>
      </c>
      <c r="M811">
        <v>5</v>
      </c>
      <c r="N811">
        <v>5</v>
      </c>
      <c r="O811" t="s">
        <v>50</v>
      </c>
      <c r="P811" t="s">
        <v>36</v>
      </c>
      <c r="Q811">
        <v>215</v>
      </c>
      <c r="R811">
        <v>16</v>
      </c>
      <c r="S811">
        <v>13</v>
      </c>
      <c r="T811" t="s">
        <v>37</v>
      </c>
      <c r="U811" t="s">
        <v>37</v>
      </c>
      <c r="V811" t="s">
        <v>36</v>
      </c>
      <c r="W811" t="s">
        <v>126</v>
      </c>
      <c r="X811">
        <v>2020</v>
      </c>
      <c r="Y811" t="s">
        <v>74</v>
      </c>
      <c r="Z811" t="s">
        <v>104</v>
      </c>
      <c r="AA811" t="s">
        <v>41</v>
      </c>
    </row>
    <row r="812" spans="1:27" x14ac:dyDescent="0.3">
      <c r="A812" t="s">
        <v>931</v>
      </c>
      <c r="B812" t="s">
        <v>28</v>
      </c>
      <c r="C812">
        <v>30</v>
      </c>
      <c r="D812" t="s">
        <v>81</v>
      </c>
      <c r="E812" t="s">
        <v>201</v>
      </c>
      <c r="F812" t="s">
        <v>56</v>
      </c>
      <c r="G812">
        <v>30078</v>
      </c>
      <c r="H812" s="1">
        <v>44063</v>
      </c>
      <c r="I812" t="s">
        <v>107</v>
      </c>
      <c r="J812" t="s">
        <v>99</v>
      </c>
      <c r="K812" t="s">
        <v>49</v>
      </c>
      <c r="L812">
        <v>1</v>
      </c>
      <c r="M812">
        <v>3</v>
      </c>
      <c r="N812">
        <v>2</v>
      </c>
      <c r="O812" t="s">
        <v>59</v>
      </c>
      <c r="P812" t="s">
        <v>36</v>
      </c>
      <c r="Q812">
        <v>254</v>
      </c>
      <c r="R812">
        <v>60</v>
      </c>
      <c r="S812">
        <v>5</v>
      </c>
      <c r="T812" t="s">
        <v>36</v>
      </c>
      <c r="U812" t="s">
        <v>36</v>
      </c>
      <c r="V812" t="s">
        <v>36</v>
      </c>
      <c r="W812" t="s">
        <v>126</v>
      </c>
      <c r="X812">
        <v>2020</v>
      </c>
      <c r="Y812" t="s">
        <v>128</v>
      </c>
      <c r="Z812" t="s">
        <v>75</v>
      </c>
      <c r="AA812" t="s">
        <v>63</v>
      </c>
    </row>
    <row r="813" spans="1:27" x14ac:dyDescent="0.3">
      <c r="A813" t="s">
        <v>932</v>
      </c>
      <c r="B813" t="s">
        <v>28</v>
      </c>
      <c r="C813">
        <v>28</v>
      </c>
      <c r="D813" t="s">
        <v>85</v>
      </c>
      <c r="E813" t="s">
        <v>168</v>
      </c>
      <c r="F813" t="s">
        <v>96</v>
      </c>
      <c r="G813">
        <v>98768</v>
      </c>
      <c r="H813" s="1">
        <v>44394</v>
      </c>
      <c r="I813" t="s">
        <v>32</v>
      </c>
      <c r="J813" t="s">
        <v>99</v>
      </c>
      <c r="K813" t="s">
        <v>58</v>
      </c>
      <c r="L813">
        <v>19</v>
      </c>
      <c r="M813">
        <v>4</v>
      </c>
      <c r="N813">
        <v>5</v>
      </c>
      <c r="O813" t="s">
        <v>59</v>
      </c>
      <c r="P813" t="s">
        <v>36</v>
      </c>
      <c r="Q813">
        <v>199</v>
      </c>
      <c r="R813">
        <v>29</v>
      </c>
      <c r="S813">
        <v>2</v>
      </c>
      <c r="T813" t="s">
        <v>36</v>
      </c>
      <c r="U813" t="s">
        <v>36</v>
      </c>
      <c r="V813" t="s">
        <v>36</v>
      </c>
      <c r="W813" t="s">
        <v>60</v>
      </c>
      <c r="X813">
        <v>2021</v>
      </c>
      <c r="Y813" t="s">
        <v>79</v>
      </c>
      <c r="Z813" t="s">
        <v>75</v>
      </c>
      <c r="AA813" t="s">
        <v>87</v>
      </c>
    </row>
    <row r="814" spans="1:27" x14ac:dyDescent="0.3">
      <c r="A814" t="s">
        <v>933</v>
      </c>
      <c r="B814" t="s">
        <v>28</v>
      </c>
      <c r="C814">
        <v>42</v>
      </c>
      <c r="D814" t="s">
        <v>65</v>
      </c>
      <c r="E814" t="s">
        <v>66</v>
      </c>
      <c r="F814" t="s">
        <v>96</v>
      </c>
      <c r="G814">
        <v>90974</v>
      </c>
      <c r="H814" s="1">
        <v>45364</v>
      </c>
      <c r="I814" t="s">
        <v>47</v>
      </c>
      <c r="J814" t="s">
        <v>101</v>
      </c>
      <c r="K814" t="s">
        <v>34</v>
      </c>
      <c r="L814">
        <v>13</v>
      </c>
      <c r="M814">
        <v>1</v>
      </c>
      <c r="N814">
        <v>2</v>
      </c>
      <c r="O814" t="s">
        <v>50</v>
      </c>
      <c r="P814" t="s">
        <v>37</v>
      </c>
      <c r="Q814">
        <v>226</v>
      </c>
      <c r="R814">
        <v>20</v>
      </c>
      <c r="S814">
        <v>21</v>
      </c>
      <c r="T814" t="s">
        <v>37</v>
      </c>
      <c r="U814" t="s">
        <v>37</v>
      </c>
      <c r="V814" t="s">
        <v>36</v>
      </c>
      <c r="W814" t="s">
        <v>60</v>
      </c>
      <c r="X814">
        <v>2024</v>
      </c>
      <c r="Y814" t="s">
        <v>142</v>
      </c>
      <c r="Z814" t="s">
        <v>70</v>
      </c>
      <c r="AA814" t="s">
        <v>87</v>
      </c>
    </row>
    <row r="815" spans="1:27" x14ac:dyDescent="0.3">
      <c r="A815" t="s">
        <v>934</v>
      </c>
      <c r="B815" t="s">
        <v>28</v>
      </c>
      <c r="C815">
        <v>33</v>
      </c>
      <c r="D815" t="s">
        <v>81</v>
      </c>
      <c r="E815" t="s">
        <v>165</v>
      </c>
      <c r="F815" t="s">
        <v>46</v>
      </c>
      <c r="G815">
        <v>67551</v>
      </c>
      <c r="H815" s="1">
        <v>43690</v>
      </c>
      <c r="I815" t="s">
        <v>107</v>
      </c>
      <c r="J815" t="s">
        <v>91</v>
      </c>
      <c r="K815" t="s">
        <v>49</v>
      </c>
      <c r="L815">
        <v>6</v>
      </c>
      <c r="M815">
        <v>3</v>
      </c>
      <c r="N815">
        <v>2</v>
      </c>
      <c r="O815" t="s">
        <v>35</v>
      </c>
      <c r="P815" t="s">
        <v>36</v>
      </c>
      <c r="Q815">
        <v>183</v>
      </c>
      <c r="R815">
        <v>72</v>
      </c>
      <c r="S815">
        <v>13</v>
      </c>
      <c r="T815" t="s">
        <v>37</v>
      </c>
      <c r="U815" t="s">
        <v>36</v>
      </c>
      <c r="V815" t="s">
        <v>36</v>
      </c>
      <c r="W815" t="s">
        <v>126</v>
      </c>
      <c r="X815">
        <v>2019</v>
      </c>
      <c r="Y815" t="s">
        <v>128</v>
      </c>
      <c r="Z815" t="s">
        <v>40</v>
      </c>
      <c r="AA815" t="s">
        <v>52</v>
      </c>
    </row>
    <row r="816" spans="1:27" x14ac:dyDescent="0.3">
      <c r="A816" t="s">
        <v>935</v>
      </c>
      <c r="B816" t="s">
        <v>43</v>
      </c>
      <c r="C816">
        <v>39</v>
      </c>
      <c r="D816" t="s">
        <v>81</v>
      </c>
      <c r="E816" t="s">
        <v>165</v>
      </c>
      <c r="F816" t="s">
        <v>56</v>
      </c>
      <c r="G816">
        <v>28856</v>
      </c>
      <c r="H816" s="1">
        <v>44808</v>
      </c>
      <c r="I816" t="s">
        <v>57</v>
      </c>
      <c r="J816" t="s">
        <v>67</v>
      </c>
      <c r="K816" t="s">
        <v>49</v>
      </c>
      <c r="L816">
        <v>2</v>
      </c>
      <c r="M816">
        <v>2</v>
      </c>
      <c r="N816">
        <v>1</v>
      </c>
      <c r="O816" t="s">
        <v>50</v>
      </c>
      <c r="P816" t="s">
        <v>37</v>
      </c>
      <c r="Q816">
        <v>217</v>
      </c>
      <c r="R816">
        <v>20</v>
      </c>
      <c r="S816">
        <v>7</v>
      </c>
      <c r="T816" t="s">
        <v>36</v>
      </c>
      <c r="U816" t="s">
        <v>37</v>
      </c>
      <c r="V816" t="s">
        <v>36</v>
      </c>
      <c r="W816" t="s">
        <v>60</v>
      </c>
      <c r="X816">
        <v>2022</v>
      </c>
      <c r="Y816" t="s">
        <v>51</v>
      </c>
      <c r="Z816" t="s">
        <v>62</v>
      </c>
      <c r="AA816" t="s">
        <v>63</v>
      </c>
    </row>
    <row r="817" spans="1:27" x14ac:dyDescent="0.3">
      <c r="A817" t="s">
        <v>936</v>
      </c>
      <c r="B817" t="s">
        <v>28</v>
      </c>
      <c r="C817">
        <v>21</v>
      </c>
      <c r="D817" t="s">
        <v>44</v>
      </c>
      <c r="E817" t="s">
        <v>219</v>
      </c>
      <c r="F817" t="s">
        <v>46</v>
      </c>
      <c r="G817">
        <v>85413</v>
      </c>
      <c r="H817" s="1">
        <v>45683</v>
      </c>
      <c r="I817" t="s">
        <v>107</v>
      </c>
      <c r="J817" t="s">
        <v>48</v>
      </c>
      <c r="K817" t="s">
        <v>49</v>
      </c>
      <c r="L817">
        <v>13</v>
      </c>
      <c r="M817">
        <v>1</v>
      </c>
      <c r="N817">
        <v>5</v>
      </c>
      <c r="O817" t="s">
        <v>35</v>
      </c>
      <c r="P817" t="s">
        <v>36</v>
      </c>
      <c r="Q817">
        <v>238</v>
      </c>
      <c r="R817">
        <v>44</v>
      </c>
      <c r="S817">
        <v>30</v>
      </c>
      <c r="T817" t="s">
        <v>36</v>
      </c>
      <c r="U817" t="s">
        <v>36</v>
      </c>
      <c r="V817" t="s">
        <v>36</v>
      </c>
      <c r="W817" t="s">
        <v>60</v>
      </c>
      <c r="X817">
        <v>2025</v>
      </c>
      <c r="Y817" t="s">
        <v>94</v>
      </c>
      <c r="Z817" t="s">
        <v>104</v>
      </c>
      <c r="AA817" t="s">
        <v>52</v>
      </c>
    </row>
    <row r="818" spans="1:27" x14ac:dyDescent="0.3">
      <c r="A818" t="s">
        <v>937</v>
      </c>
      <c r="B818" t="s">
        <v>43</v>
      </c>
      <c r="C818">
        <v>33</v>
      </c>
      <c r="D818" t="s">
        <v>81</v>
      </c>
      <c r="E818" t="s">
        <v>201</v>
      </c>
      <c r="F818" t="s">
        <v>31</v>
      </c>
      <c r="G818">
        <v>44252</v>
      </c>
      <c r="H818" s="1">
        <v>45875</v>
      </c>
      <c r="I818" t="s">
        <v>47</v>
      </c>
      <c r="J818" t="s">
        <v>48</v>
      </c>
      <c r="K818" t="s">
        <v>49</v>
      </c>
      <c r="L818">
        <v>2</v>
      </c>
      <c r="M818">
        <v>1</v>
      </c>
      <c r="N818">
        <v>1</v>
      </c>
      <c r="O818" t="s">
        <v>68</v>
      </c>
      <c r="P818" t="s">
        <v>36</v>
      </c>
      <c r="Q818">
        <v>155</v>
      </c>
      <c r="R818">
        <v>80</v>
      </c>
      <c r="S818">
        <v>19</v>
      </c>
      <c r="T818" t="s">
        <v>37</v>
      </c>
      <c r="U818" t="s">
        <v>36</v>
      </c>
      <c r="V818" t="s">
        <v>36</v>
      </c>
      <c r="W818" t="s">
        <v>60</v>
      </c>
      <c r="X818">
        <v>2025</v>
      </c>
      <c r="Y818" t="s">
        <v>128</v>
      </c>
      <c r="Z818" t="s">
        <v>40</v>
      </c>
      <c r="AA818" t="s">
        <v>41</v>
      </c>
    </row>
    <row r="819" spans="1:27" x14ac:dyDescent="0.3">
      <c r="A819" t="s">
        <v>938</v>
      </c>
      <c r="B819" t="s">
        <v>43</v>
      </c>
      <c r="C819">
        <v>38</v>
      </c>
      <c r="D819" t="s">
        <v>85</v>
      </c>
      <c r="E819" t="s">
        <v>168</v>
      </c>
      <c r="F819" t="s">
        <v>56</v>
      </c>
      <c r="G819">
        <v>28551</v>
      </c>
      <c r="H819" s="1">
        <v>44360</v>
      </c>
      <c r="I819" t="s">
        <v>57</v>
      </c>
      <c r="J819" t="s">
        <v>67</v>
      </c>
      <c r="K819" t="s">
        <v>34</v>
      </c>
      <c r="L819">
        <v>3</v>
      </c>
      <c r="M819">
        <v>2</v>
      </c>
      <c r="N819">
        <v>2</v>
      </c>
      <c r="O819" t="s">
        <v>68</v>
      </c>
      <c r="P819" t="s">
        <v>36</v>
      </c>
      <c r="Q819">
        <v>255</v>
      </c>
      <c r="R819">
        <v>68</v>
      </c>
      <c r="S819">
        <v>19</v>
      </c>
      <c r="T819" t="s">
        <v>37</v>
      </c>
      <c r="U819" t="s">
        <v>36</v>
      </c>
      <c r="V819" t="s">
        <v>36</v>
      </c>
      <c r="W819" t="s">
        <v>60</v>
      </c>
      <c r="X819">
        <v>2021</v>
      </c>
      <c r="Y819" t="s">
        <v>61</v>
      </c>
      <c r="Z819" t="s">
        <v>62</v>
      </c>
      <c r="AA819" t="s">
        <v>63</v>
      </c>
    </row>
    <row r="820" spans="1:27" x14ac:dyDescent="0.3">
      <c r="A820" t="s">
        <v>939</v>
      </c>
      <c r="B820" t="s">
        <v>43</v>
      </c>
      <c r="C820">
        <v>32</v>
      </c>
      <c r="D820" t="s">
        <v>44</v>
      </c>
      <c r="E820" t="s">
        <v>45</v>
      </c>
      <c r="F820" t="s">
        <v>31</v>
      </c>
      <c r="G820">
        <v>69034</v>
      </c>
      <c r="H820" s="1">
        <v>44664</v>
      </c>
      <c r="I820" t="s">
        <v>107</v>
      </c>
      <c r="J820" t="s">
        <v>67</v>
      </c>
      <c r="K820" t="s">
        <v>58</v>
      </c>
      <c r="L820">
        <v>6</v>
      </c>
      <c r="M820">
        <v>3</v>
      </c>
      <c r="N820">
        <v>2</v>
      </c>
      <c r="O820" t="s">
        <v>35</v>
      </c>
      <c r="P820" t="s">
        <v>36</v>
      </c>
      <c r="Q820">
        <v>225</v>
      </c>
      <c r="R820">
        <v>58</v>
      </c>
      <c r="S820">
        <v>10</v>
      </c>
      <c r="T820" t="s">
        <v>36</v>
      </c>
      <c r="U820" t="s">
        <v>36</v>
      </c>
      <c r="V820" t="s">
        <v>36</v>
      </c>
      <c r="W820" t="s">
        <v>126</v>
      </c>
      <c r="X820">
        <v>2022</v>
      </c>
      <c r="Y820" t="s">
        <v>69</v>
      </c>
      <c r="Z820" t="s">
        <v>40</v>
      </c>
      <c r="AA820" t="s">
        <v>52</v>
      </c>
    </row>
    <row r="821" spans="1:27" x14ac:dyDescent="0.3">
      <c r="A821" t="s">
        <v>940</v>
      </c>
      <c r="B821" t="s">
        <v>28</v>
      </c>
      <c r="C821">
        <v>39</v>
      </c>
      <c r="D821" t="s">
        <v>54</v>
      </c>
      <c r="E821" t="s">
        <v>55</v>
      </c>
      <c r="F821" t="s">
        <v>31</v>
      </c>
      <c r="G821">
        <v>66470</v>
      </c>
      <c r="H821" s="1">
        <v>43991</v>
      </c>
      <c r="I821" t="s">
        <v>32</v>
      </c>
      <c r="J821" t="s">
        <v>73</v>
      </c>
      <c r="K821" t="s">
        <v>34</v>
      </c>
      <c r="L821">
        <v>4</v>
      </c>
      <c r="M821">
        <v>5</v>
      </c>
      <c r="N821">
        <v>2</v>
      </c>
      <c r="O821" t="s">
        <v>35</v>
      </c>
      <c r="P821" t="s">
        <v>36</v>
      </c>
      <c r="Q821">
        <v>224</v>
      </c>
      <c r="R821">
        <v>34</v>
      </c>
      <c r="S821">
        <v>9</v>
      </c>
      <c r="T821" t="s">
        <v>36</v>
      </c>
      <c r="U821" t="s">
        <v>37</v>
      </c>
      <c r="V821" t="s">
        <v>36</v>
      </c>
      <c r="W821" t="s">
        <v>60</v>
      </c>
      <c r="X821">
        <v>2020</v>
      </c>
      <c r="Y821" t="s">
        <v>61</v>
      </c>
      <c r="Z821" t="s">
        <v>62</v>
      </c>
      <c r="AA821" t="s">
        <v>52</v>
      </c>
    </row>
    <row r="822" spans="1:27" x14ac:dyDescent="0.3">
      <c r="A822" t="s">
        <v>941</v>
      </c>
      <c r="B822" t="s">
        <v>28</v>
      </c>
      <c r="C822">
        <v>28</v>
      </c>
      <c r="D822" t="s">
        <v>77</v>
      </c>
      <c r="E822" t="s">
        <v>138</v>
      </c>
      <c r="F822" t="s">
        <v>31</v>
      </c>
      <c r="G822">
        <v>51061</v>
      </c>
      <c r="H822" s="1">
        <v>45819</v>
      </c>
      <c r="I822" t="s">
        <v>107</v>
      </c>
      <c r="J822" t="s">
        <v>33</v>
      </c>
      <c r="K822" t="s">
        <v>49</v>
      </c>
      <c r="L822">
        <v>2</v>
      </c>
      <c r="M822">
        <v>1</v>
      </c>
      <c r="N822">
        <v>2</v>
      </c>
      <c r="O822" t="s">
        <v>68</v>
      </c>
      <c r="P822" t="s">
        <v>36</v>
      </c>
      <c r="Q822">
        <v>164</v>
      </c>
      <c r="R822">
        <v>23</v>
      </c>
      <c r="S822">
        <v>25</v>
      </c>
      <c r="T822" t="s">
        <v>36</v>
      </c>
      <c r="U822" t="s">
        <v>37</v>
      </c>
      <c r="V822" t="s">
        <v>36</v>
      </c>
      <c r="W822" t="s">
        <v>60</v>
      </c>
      <c r="X822">
        <v>2025</v>
      </c>
      <c r="Y822" t="s">
        <v>61</v>
      </c>
      <c r="Z822" t="s">
        <v>75</v>
      </c>
      <c r="AA822" t="s">
        <v>41</v>
      </c>
    </row>
    <row r="823" spans="1:27" x14ac:dyDescent="0.3">
      <c r="A823" t="s">
        <v>942</v>
      </c>
      <c r="B823" t="s">
        <v>43</v>
      </c>
      <c r="C823">
        <v>41</v>
      </c>
      <c r="D823" t="s">
        <v>65</v>
      </c>
      <c r="E823" t="s">
        <v>72</v>
      </c>
      <c r="F823" t="s">
        <v>96</v>
      </c>
      <c r="G823">
        <v>158008</v>
      </c>
      <c r="H823" s="1">
        <v>44592</v>
      </c>
      <c r="I823" t="s">
        <v>32</v>
      </c>
      <c r="J823" t="s">
        <v>33</v>
      </c>
      <c r="K823" t="s">
        <v>49</v>
      </c>
      <c r="L823">
        <v>18</v>
      </c>
      <c r="M823">
        <v>4</v>
      </c>
      <c r="N823">
        <v>2</v>
      </c>
      <c r="O823" t="s">
        <v>59</v>
      </c>
      <c r="P823" t="s">
        <v>36</v>
      </c>
      <c r="Q823">
        <v>168</v>
      </c>
      <c r="R823">
        <v>40</v>
      </c>
      <c r="S823">
        <v>15</v>
      </c>
      <c r="T823" t="s">
        <v>37</v>
      </c>
      <c r="U823" t="s">
        <v>36</v>
      </c>
      <c r="V823" t="s">
        <v>36</v>
      </c>
      <c r="W823" t="s">
        <v>60</v>
      </c>
      <c r="X823">
        <v>2022</v>
      </c>
      <c r="Y823" t="s">
        <v>94</v>
      </c>
      <c r="Z823" t="s">
        <v>70</v>
      </c>
      <c r="AA823" t="s">
        <v>105</v>
      </c>
    </row>
    <row r="824" spans="1:27" x14ac:dyDescent="0.3">
      <c r="A824" t="s">
        <v>943</v>
      </c>
      <c r="B824" t="s">
        <v>28</v>
      </c>
      <c r="C824">
        <v>48</v>
      </c>
      <c r="D824" t="s">
        <v>77</v>
      </c>
      <c r="E824" t="s">
        <v>133</v>
      </c>
      <c r="F824" t="s">
        <v>31</v>
      </c>
      <c r="G824">
        <v>44012</v>
      </c>
      <c r="H824" s="1">
        <v>45345</v>
      </c>
      <c r="I824" t="s">
        <v>32</v>
      </c>
      <c r="J824" t="s">
        <v>67</v>
      </c>
      <c r="K824" t="s">
        <v>49</v>
      </c>
      <c r="L824">
        <v>2</v>
      </c>
      <c r="M824">
        <v>5</v>
      </c>
      <c r="N824">
        <v>3</v>
      </c>
      <c r="O824" t="s">
        <v>68</v>
      </c>
      <c r="P824" t="s">
        <v>37</v>
      </c>
      <c r="Q824">
        <v>202</v>
      </c>
      <c r="R824">
        <v>59</v>
      </c>
      <c r="S824">
        <v>26</v>
      </c>
      <c r="T824" t="s">
        <v>37</v>
      </c>
      <c r="U824" t="s">
        <v>37</v>
      </c>
      <c r="V824" t="s">
        <v>36</v>
      </c>
      <c r="W824" t="s">
        <v>126</v>
      </c>
      <c r="X824">
        <v>2024</v>
      </c>
      <c r="Y824" t="s">
        <v>39</v>
      </c>
      <c r="Z824" t="s">
        <v>70</v>
      </c>
      <c r="AA824" t="s">
        <v>41</v>
      </c>
    </row>
    <row r="825" spans="1:27" x14ac:dyDescent="0.3">
      <c r="A825" t="s">
        <v>944</v>
      </c>
      <c r="B825" t="s">
        <v>28</v>
      </c>
      <c r="C825">
        <v>29</v>
      </c>
      <c r="D825" t="s">
        <v>89</v>
      </c>
      <c r="E825" t="s">
        <v>144</v>
      </c>
      <c r="F825" t="s">
        <v>46</v>
      </c>
      <c r="G825">
        <v>107221</v>
      </c>
      <c r="H825" s="1">
        <v>45306</v>
      </c>
      <c r="I825" t="s">
        <v>32</v>
      </c>
      <c r="J825" t="s">
        <v>101</v>
      </c>
      <c r="K825" t="s">
        <v>58</v>
      </c>
      <c r="L825">
        <v>8</v>
      </c>
      <c r="M825">
        <v>2</v>
      </c>
      <c r="N825">
        <v>3</v>
      </c>
      <c r="O825" t="s">
        <v>35</v>
      </c>
      <c r="P825" t="s">
        <v>36</v>
      </c>
      <c r="Q825">
        <v>199</v>
      </c>
      <c r="R825">
        <v>35</v>
      </c>
      <c r="S825">
        <v>22</v>
      </c>
      <c r="T825" t="s">
        <v>36</v>
      </c>
      <c r="U825" t="s">
        <v>36</v>
      </c>
      <c r="V825" t="s">
        <v>37</v>
      </c>
      <c r="W825" t="s">
        <v>38</v>
      </c>
      <c r="X825">
        <v>2024</v>
      </c>
      <c r="Y825" t="s">
        <v>94</v>
      </c>
      <c r="Z825" t="s">
        <v>75</v>
      </c>
      <c r="AA825" t="s">
        <v>87</v>
      </c>
    </row>
    <row r="826" spans="1:27" x14ac:dyDescent="0.3">
      <c r="A826" t="s">
        <v>945</v>
      </c>
      <c r="B826" t="s">
        <v>43</v>
      </c>
      <c r="C826">
        <v>28</v>
      </c>
      <c r="D826" t="s">
        <v>44</v>
      </c>
      <c r="E826" t="s">
        <v>115</v>
      </c>
      <c r="F826" t="s">
        <v>56</v>
      </c>
      <c r="G826">
        <v>36771</v>
      </c>
      <c r="H826" s="1">
        <v>45604</v>
      </c>
      <c r="I826" t="s">
        <v>57</v>
      </c>
      <c r="J826" t="s">
        <v>48</v>
      </c>
      <c r="K826" t="s">
        <v>34</v>
      </c>
      <c r="L826">
        <v>2</v>
      </c>
      <c r="M826">
        <v>3</v>
      </c>
      <c r="N826">
        <v>1</v>
      </c>
      <c r="O826" t="s">
        <v>35</v>
      </c>
      <c r="P826" t="s">
        <v>36</v>
      </c>
      <c r="Q826">
        <v>260</v>
      </c>
      <c r="R826">
        <v>35</v>
      </c>
      <c r="S826">
        <v>30</v>
      </c>
      <c r="T826" t="s">
        <v>36</v>
      </c>
      <c r="U826" t="s">
        <v>36</v>
      </c>
      <c r="V826" t="s">
        <v>36</v>
      </c>
      <c r="W826" t="s">
        <v>60</v>
      </c>
      <c r="X826">
        <v>2024</v>
      </c>
      <c r="Y826" t="s">
        <v>123</v>
      </c>
      <c r="Z826" t="s">
        <v>75</v>
      </c>
      <c r="AA826" t="s">
        <v>63</v>
      </c>
    </row>
    <row r="827" spans="1:27" x14ac:dyDescent="0.3">
      <c r="A827" t="s">
        <v>946</v>
      </c>
      <c r="B827" t="s">
        <v>28</v>
      </c>
      <c r="C827">
        <v>42</v>
      </c>
      <c r="D827" t="s">
        <v>85</v>
      </c>
      <c r="E827" t="s">
        <v>159</v>
      </c>
      <c r="F827" t="s">
        <v>56</v>
      </c>
      <c r="G827">
        <v>32885</v>
      </c>
      <c r="H827" s="1">
        <v>44806</v>
      </c>
      <c r="I827" t="s">
        <v>32</v>
      </c>
      <c r="J827" t="s">
        <v>48</v>
      </c>
      <c r="K827" t="s">
        <v>34</v>
      </c>
      <c r="L827">
        <v>0</v>
      </c>
      <c r="M827">
        <v>5</v>
      </c>
      <c r="N827">
        <v>4</v>
      </c>
      <c r="O827" t="s">
        <v>50</v>
      </c>
      <c r="P827" t="s">
        <v>36</v>
      </c>
      <c r="Q827">
        <v>193</v>
      </c>
      <c r="R827">
        <v>59</v>
      </c>
      <c r="S827">
        <v>10</v>
      </c>
      <c r="T827" t="s">
        <v>36</v>
      </c>
      <c r="U827" t="s">
        <v>37</v>
      </c>
      <c r="V827" t="s">
        <v>36</v>
      </c>
      <c r="W827" t="s">
        <v>60</v>
      </c>
      <c r="X827">
        <v>2022</v>
      </c>
      <c r="Y827" t="s">
        <v>51</v>
      </c>
      <c r="Z827" t="s">
        <v>70</v>
      </c>
      <c r="AA827" t="s">
        <v>63</v>
      </c>
    </row>
    <row r="828" spans="1:27" x14ac:dyDescent="0.3">
      <c r="A828" t="s">
        <v>947</v>
      </c>
      <c r="B828" t="s">
        <v>28</v>
      </c>
      <c r="C828">
        <v>43</v>
      </c>
      <c r="D828" t="s">
        <v>77</v>
      </c>
      <c r="E828" t="s">
        <v>78</v>
      </c>
      <c r="F828" t="s">
        <v>56</v>
      </c>
      <c r="G828">
        <v>40449</v>
      </c>
      <c r="H828" s="1">
        <v>46024</v>
      </c>
      <c r="I828" t="s">
        <v>32</v>
      </c>
      <c r="J828" t="s">
        <v>91</v>
      </c>
      <c r="K828" t="s">
        <v>49</v>
      </c>
      <c r="L828">
        <v>3</v>
      </c>
      <c r="M828">
        <v>2</v>
      </c>
      <c r="N828">
        <v>2</v>
      </c>
      <c r="O828" t="s">
        <v>68</v>
      </c>
      <c r="P828" t="s">
        <v>36</v>
      </c>
      <c r="Q828">
        <v>155</v>
      </c>
      <c r="R828">
        <v>60</v>
      </c>
      <c r="S828">
        <v>19</v>
      </c>
      <c r="T828" t="s">
        <v>37</v>
      </c>
      <c r="U828" t="s">
        <v>36</v>
      </c>
      <c r="V828" t="s">
        <v>36</v>
      </c>
      <c r="W828" t="s">
        <v>60</v>
      </c>
      <c r="X828">
        <v>2026</v>
      </c>
      <c r="Y828" t="s">
        <v>94</v>
      </c>
      <c r="Z828" t="s">
        <v>70</v>
      </c>
      <c r="AA828" t="s">
        <v>41</v>
      </c>
    </row>
    <row r="829" spans="1:27" x14ac:dyDescent="0.3">
      <c r="A829" t="s">
        <v>948</v>
      </c>
      <c r="B829" t="s">
        <v>28</v>
      </c>
      <c r="C829">
        <v>28</v>
      </c>
      <c r="D829" t="s">
        <v>85</v>
      </c>
      <c r="E829" t="s">
        <v>168</v>
      </c>
      <c r="F829" t="s">
        <v>96</v>
      </c>
      <c r="G829">
        <v>95751</v>
      </c>
      <c r="H829" s="1">
        <v>45379</v>
      </c>
      <c r="I829" t="s">
        <v>98</v>
      </c>
      <c r="J829" t="s">
        <v>101</v>
      </c>
      <c r="K829" t="s">
        <v>34</v>
      </c>
      <c r="L829">
        <v>11</v>
      </c>
      <c r="M829">
        <v>4</v>
      </c>
      <c r="N829">
        <v>5</v>
      </c>
      <c r="O829" t="s">
        <v>68</v>
      </c>
      <c r="P829" t="s">
        <v>36</v>
      </c>
      <c r="Q829">
        <v>159</v>
      </c>
      <c r="R829">
        <v>33</v>
      </c>
      <c r="S829">
        <v>25</v>
      </c>
      <c r="T829" t="s">
        <v>37</v>
      </c>
      <c r="U829" t="s">
        <v>37</v>
      </c>
      <c r="V829" t="s">
        <v>36</v>
      </c>
      <c r="W829" t="s">
        <v>60</v>
      </c>
      <c r="X829">
        <v>2024</v>
      </c>
      <c r="Y829" t="s">
        <v>142</v>
      </c>
      <c r="Z829" t="s">
        <v>75</v>
      </c>
      <c r="AA829" t="s">
        <v>87</v>
      </c>
    </row>
    <row r="830" spans="1:27" x14ac:dyDescent="0.3">
      <c r="A830" t="s">
        <v>949</v>
      </c>
      <c r="B830" t="s">
        <v>43</v>
      </c>
      <c r="C830">
        <v>29</v>
      </c>
      <c r="D830" t="s">
        <v>54</v>
      </c>
      <c r="E830" t="s">
        <v>153</v>
      </c>
      <c r="F830" t="s">
        <v>46</v>
      </c>
      <c r="G830">
        <v>65766</v>
      </c>
      <c r="H830" s="1">
        <v>45141</v>
      </c>
      <c r="I830" t="s">
        <v>57</v>
      </c>
      <c r="J830" t="s">
        <v>91</v>
      </c>
      <c r="K830" t="s">
        <v>58</v>
      </c>
      <c r="L830">
        <v>14</v>
      </c>
      <c r="M830">
        <v>1</v>
      </c>
      <c r="N830">
        <v>3</v>
      </c>
      <c r="O830" t="s">
        <v>35</v>
      </c>
      <c r="P830" t="s">
        <v>36</v>
      </c>
      <c r="Q830">
        <v>225</v>
      </c>
      <c r="R830">
        <v>16</v>
      </c>
      <c r="S830">
        <v>27</v>
      </c>
      <c r="T830" t="s">
        <v>36</v>
      </c>
      <c r="U830" t="s">
        <v>36</v>
      </c>
      <c r="V830" t="s">
        <v>36</v>
      </c>
      <c r="W830" t="s">
        <v>60</v>
      </c>
      <c r="X830">
        <v>2023</v>
      </c>
      <c r="Y830" t="s">
        <v>128</v>
      </c>
      <c r="Z830" t="s">
        <v>75</v>
      </c>
      <c r="AA830" t="s">
        <v>52</v>
      </c>
    </row>
    <row r="831" spans="1:27" x14ac:dyDescent="0.3">
      <c r="A831" t="s">
        <v>950</v>
      </c>
      <c r="B831" t="s">
        <v>28</v>
      </c>
      <c r="C831">
        <v>30</v>
      </c>
      <c r="D831" t="s">
        <v>89</v>
      </c>
      <c r="E831" t="s">
        <v>144</v>
      </c>
      <c r="F831" t="s">
        <v>31</v>
      </c>
      <c r="G831">
        <v>63538</v>
      </c>
      <c r="H831" s="1">
        <v>43492</v>
      </c>
      <c r="I831" t="s">
        <v>98</v>
      </c>
      <c r="J831" t="s">
        <v>33</v>
      </c>
      <c r="K831" t="s">
        <v>34</v>
      </c>
      <c r="L831">
        <v>7</v>
      </c>
      <c r="M831">
        <v>4</v>
      </c>
      <c r="N831">
        <v>2</v>
      </c>
      <c r="O831" t="s">
        <v>50</v>
      </c>
      <c r="P831" t="s">
        <v>36</v>
      </c>
      <c r="Q831">
        <v>192</v>
      </c>
      <c r="R831">
        <v>5</v>
      </c>
      <c r="S831">
        <v>15</v>
      </c>
      <c r="T831" t="s">
        <v>36</v>
      </c>
      <c r="U831" t="s">
        <v>37</v>
      </c>
      <c r="V831" t="s">
        <v>37</v>
      </c>
      <c r="W831" t="s">
        <v>38</v>
      </c>
      <c r="X831">
        <v>2019</v>
      </c>
      <c r="Y831" t="s">
        <v>94</v>
      </c>
      <c r="Z831" t="s">
        <v>75</v>
      </c>
      <c r="AA831" t="s">
        <v>52</v>
      </c>
    </row>
    <row r="832" spans="1:27" x14ac:dyDescent="0.3">
      <c r="A832" t="s">
        <v>951</v>
      </c>
      <c r="B832" t="s">
        <v>43</v>
      </c>
      <c r="C832">
        <v>22</v>
      </c>
      <c r="D832" t="s">
        <v>65</v>
      </c>
      <c r="E832" t="s">
        <v>72</v>
      </c>
      <c r="F832" t="s">
        <v>31</v>
      </c>
      <c r="G832">
        <v>42881</v>
      </c>
      <c r="H832" s="1">
        <v>43865</v>
      </c>
      <c r="I832" t="s">
        <v>32</v>
      </c>
      <c r="J832" t="s">
        <v>33</v>
      </c>
      <c r="K832" t="s">
        <v>34</v>
      </c>
      <c r="L832">
        <v>7</v>
      </c>
      <c r="M832">
        <v>5</v>
      </c>
      <c r="N832">
        <v>1</v>
      </c>
      <c r="O832" t="s">
        <v>35</v>
      </c>
      <c r="P832" t="s">
        <v>36</v>
      </c>
      <c r="Q832">
        <v>185</v>
      </c>
      <c r="R832">
        <v>27</v>
      </c>
      <c r="S832">
        <v>8</v>
      </c>
      <c r="T832" t="s">
        <v>37</v>
      </c>
      <c r="U832" t="s">
        <v>36</v>
      </c>
      <c r="V832" t="s">
        <v>36</v>
      </c>
      <c r="W832" t="s">
        <v>60</v>
      </c>
      <c r="X832">
        <v>2020</v>
      </c>
      <c r="Y832" t="s">
        <v>39</v>
      </c>
      <c r="Z832" t="s">
        <v>104</v>
      </c>
      <c r="AA832" t="s">
        <v>41</v>
      </c>
    </row>
    <row r="833" spans="1:27" x14ac:dyDescent="0.3">
      <c r="A833" t="s">
        <v>952</v>
      </c>
      <c r="B833" t="s">
        <v>28</v>
      </c>
      <c r="C833">
        <v>25</v>
      </c>
      <c r="D833" t="s">
        <v>81</v>
      </c>
      <c r="E833" t="s">
        <v>165</v>
      </c>
      <c r="F833" t="s">
        <v>56</v>
      </c>
      <c r="G833">
        <v>42728</v>
      </c>
      <c r="H833" s="1">
        <v>45999</v>
      </c>
      <c r="I833" t="s">
        <v>107</v>
      </c>
      <c r="J833" t="s">
        <v>118</v>
      </c>
      <c r="K833" t="s">
        <v>58</v>
      </c>
      <c r="L833">
        <v>1</v>
      </c>
      <c r="M833">
        <v>2</v>
      </c>
      <c r="N833">
        <v>1</v>
      </c>
      <c r="O833" t="s">
        <v>35</v>
      </c>
      <c r="P833" t="s">
        <v>37</v>
      </c>
      <c r="Q833">
        <v>242</v>
      </c>
      <c r="R833">
        <v>25</v>
      </c>
      <c r="S833">
        <v>17</v>
      </c>
      <c r="T833" t="s">
        <v>36</v>
      </c>
      <c r="U833" t="s">
        <v>36</v>
      </c>
      <c r="V833" t="s">
        <v>36</v>
      </c>
      <c r="W833" t="s">
        <v>60</v>
      </c>
      <c r="X833">
        <v>2025</v>
      </c>
      <c r="Y833" t="s">
        <v>116</v>
      </c>
      <c r="Z833" t="s">
        <v>104</v>
      </c>
      <c r="AA833" t="s">
        <v>41</v>
      </c>
    </row>
    <row r="834" spans="1:27" x14ac:dyDescent="0.3">
      <c r="A834" t="s">
        <v>953</v>
      </c>
      <c r="B834" t="s">
        <v>28</v>
      </c>
      <c r="C834">
        <v>24</v>
      </c>
      <c r="D834" t="s">
        <v>65</v>
      </c>
      <c r="E834" t="s">
        <v>120</v>
      </c>
      <c r="F834" t="s">
        <v>31</v>
      </c>
      <c r="G834">
        <v>64427</v>
      </c>
      <c r="H834" s="1">
        <v>43910</v>
      </c>
      <c r="I834" t="s">
        <v>47</v>
      </c>
      <c r="J834" t="s">
        <v>33</v>
      </c>
      <c r="K834" t="s">
        <v>34</v>
      </c>
      <c r="L834">
        <v>5</v>
      </c>
      <c r="M834">
        <v>1</v>
      </c>
      <c r="N834">
        <v>2</v>
      </c>
      <c r="O834" t="s">
        <v>68</v>
      </c>
      <c r="P834" t="s">
        <v>37</v>
      </c>
      <c r="Q834">
        <v>159</v>
      </c>
      <c r="R834">
        <v>39</v>
      </c>
      <c r="S834">
        <v>24</v>
      </c>
      <c r="T834" t="s">
        <v>36</v>
      </c>
      <c r="U834" t="s">
        <v>36</v>
      </c>
      <c r="V834" t="s">
        <v>36</v>
      </c>
      <c r="W834" t="s">
        <v>60</v>
      </c>
      <c r="X834">
        <v>2020</v>
      </c>
      <c r="Y834" t="s">
        <v>142</v>
      </c>
      <c r="Z834" t="s">
        <v>104</v>
      </c>
      <c r="AA834" t="s">
        <v>52</v>
      </c>
    </row>
    <row r="835" spans="1:27" x14ac:dyDescent="0.3">
      <c r="A835" t="s">
        <v>954</v>
      </c>
      <c r="B835" t="s">
        <v>43</v>
      </c>
      <c r="C835">
        <v>26</v>
      </c>
      <c r="D835" t="s">
        <v>85</v>
      </c>
      <c r="E835" t="s">
        <v>168</v>
      </c>
      <c r="F835" t="s">
        <v>96</v>
      </c>
      <c r="G835">
        <v>145690</v>
      </c>
      <c r="H835" s="1">
        <v>45968</v>
      </c>
      <c r="I835" t="s">
        <v>57</v>
      </c>
      <c r="J835" t="s">
        <v>33</v>
      </c>
      <c r="K835" t="s">
        <v>49</v>
      </c>
      <c r="L835">
        <v>10</v>
      </c>
      <c r="M835">
        <v>4</v>
      </c>
      <c r="N835">
        <v>3</v>
      </c>
      <c r="O835" t="s">
        <v>50</v>
      </c>
      <c r="P835" t="s">
        <v>36</v>
      </c>
      <c r="Q835">
        <v>183</v>
      </c>
      <c r="R835">
        <v>53</v>
      </c>
      <c r="S835">
        <v>26</v>
      </c>
      <c r="T835" t="s">
        <v>36</v>
      </c>
      <c r="U835" t="s">
        <v>36</v>
      </c>
      <c r="V835" t="s">
        <v>36</v>
      </c>
      <c r="W835" t="s">
        <v>126</v>
      </c>
      <c r="X835">
        <v>2025</v>
      </c>
      <c r="Y835" t="s">
        <v>123</v>
      </c>
      <c r="Z835" t="s">
        <v>75</v>
      </c>
      <c r="AA835" t="s">
        <v>105</v>
      </c>
    </row>
    <row r="836" spans="1:27" x14ac:dyDescent="0.3">
      <c r="A836" t="s">
        <v>955</v>
      </c>
      <c r="B836" t="s">
        <v>28</v>
      </c>
      <c r="C836">
        <v>31</v>
      </c>
      <c r="D836" t="s">
        <v>54</v>
      </c>
      <c r="E836" t="s">
        <v>111</v>
      </c>
      <c r="F836" t="s">
        <v>56</v>
      </c>
      <c r="G836">
        <v>35528</v>
      </c>
      <c r="H836" s="1">
        <v>45760</v>
      </c>
      <c r="I836" t="s">
        <v>32</v>
      </c>
      <c r="J836" t="s">
        <v>33</v>
      </c>
      <c r="K836" t="s">
        <v>58</v>
      </c>
      <c r="L836">
        <v>0</v>
      </c>
      <c r="M836">
        <v>4</v>
      </c>
      <c r="N836">
        <v>4</v>
      </c>
      <c r="O836" t="s">
        <v>68</v>
      </c>
      <c r="P836" t="s">
        <v>36</v>
      </c>
      <c r="Q836">
        <v>224</v>
      </c>
      <c r="R836">
        <v>11</v>
      </c>
      <c r="S836">
        <v>18</v>
      </c>
      <c r="T836" t="s">
        <v>36</v>
      </c>
      <c r="U836" t="s">
        <v>36</v>
      </c>
      <c r="V836" t="s">
        <v>37</v>
      </c>
      <c r="W836" t="s">
        <v>38</v>
      </c>
      <c r="X836">
        <v>2025</v>
      </c>
      <c r="Y836" t="s">
        <v>69</v>
      </c>
      <c r="Z836" t="s">
        <v>40</v>
      </c>
      <c r="AA836" t="s">
        <v>63</v>
      </c>
    </row>
    <row r="837" spans="1:27" x14ac:dyDescent="0.3">
      <c r="A837" t="s">
        <v>956</v>
      </c>
      <c r="B837" t="s">
        <v>28</v>
      </c>
      <c r="C837">
        <v>33</v>
      </c>
      <c r="D837" t="s">
        <v>44</v>
      </c>
      <c r="E837" t="s">
        <v>219</v>
      </c>
      <c r="F837" t="s">
        <v>46</v>
      </c>
      <c r="G837">
        <v>99411</v>
      </c>
      <c r="H837" s="1">
        <v>43849</v>
      </c>
      <c r="I837" t="s">
        <v>57</v>
      </c>
      <c r="J837" t="s">
        <v>118</v>
      </c>
      <c r="K837" t="s">
        <v>49</v>
      </c>
      <c r="L837">
        <v>13</v>
      </c>
      <c r="M837">
        <v>3</v>
      </c>
      <c r="N837">
        <v>3</v>
      </c>
      <c r="O837" t="s">
        <v>68</v>
      </c>
      <c r="P837" t="s">
        <v>36</v>
      </c>
      <c r="Q837">
        <v>220</v>
      </c>
      <c r="R837">
        <v>22</v>
      </c>
      <c r="S837">
        <v>27</v>
      </c>
      <c r="T837" t="s">
        <v>37</v>
      </c>
      <c r="U837" t="s">
        <v>36</v>
      </c>
      <c r="V837" t="s">
        <v>36</v>
      </c>
      <c r="W837" t="s">
        <v>60</v>
      </c>
      <c r="X837">
        <v>2020</v>
      </c>
      <c r="Y837" t="s">
        <v>94</v>
      </c>
      <c r="Z837" t="s">
        <v>40</v>
      </c>
      <c r="AA837" t="s">
        <v>87</v>
      </c>
    </row>
    <row r="838" spans="1:27" x14ac:dyDescent="0.3">
      <c r="A838" t="s">
        <v>957</v>
      </c>
      <c r="B838" t="s">
        <v>28</v>
      </c>
      <c r="C838">
        <v>42</v>
      </c>
      <c r="D838" t="s">
        <v>89</v>
      </c>
      <c r="E838" t="s">
        <v>203</v>
      </c>
      <c r="F838" t="s">
        <v>96</v>
      </c>
      <c r="G838">
        <v>100506</v>
      </c>
      <c r="H838" s="1">
        <v>44784</v>
      </c>
      <c r="I838" t="s">
        <v>57</v>
      </c>
      <c r="J838" t="s">
        <v>99</v>
      </c>
      <c r="K838" t="s">
        <v>34</v>
      </c>
      <c r="L838">
        <v>19</v>
      </c>
      <c r="M838">
        <v>4</v>
      </c>
      <c r="N838">
        <v>2</v>
      </c>
      <c r="O838" t="s">
        <v>35</v>
      </c>
      <c r="P838" t="s">
        <v>36</v>
      </c>
      <c r="Q838">
        <v>185</v>
      </c>
      <c r="R838">
        <v>8</v>
      </c>
      <c r="S838">
        <v>4</v>
      </c>
      <c r="T838" t="s">
        <v>36</v>
      </c>
      <c r="U838" t="s">
        <v>36</v>
      </c>
      <c r="V838" t="s">
        <v>37</v>
      </c>
      <c r="W838" t="s">
        <v>38</v>
      </c>
      <c r="X838">
        <v>2022</v>
      </c>
      <c r="Y838" t="s">
        <v>128</v>
      </c>
      <c r="Z838" t="s">
        <v>70</v>
      </c>
      <c r="AA838" t="s">
        <v>87</v>
      </c>
    </row>
    <row r="839" spans="1:27" x14ac:dyDescent="0.3">
      <c r="A839" t="s">
        <v>958</v>
      </c>
      <c r="B839" t="s">
        <v>28</v>
      </c>
      <c r="C839">
        <v>25</v>
      </c>
      <c r="D839" t="s">
        <v>54</v>
      </c>
      <c r="E839" t="s">
        <v>153</v>
      </c>
      <c r="F839" t="s">
        <v>31</v>
      </c>
      <c r="G839">
        <v>57754</v>
      </c>
      <c r="H839" s="1">
        <v>45264</v>
      </c>
      <c r="I839" t="s">
        <v>107</v>
      </c>
      <c r="J839" t="s">
        <v>91</v>
      </c>
      <c r="K839" t="s">
        <v>49</v>
      </c>
      <c r="L839">
        <v>2</v>
      </c>
      <c r="M839">
        <v>5</v>
      </c>
      <c r="N839">
        <v>3</v>
      </c>
      <c r="O839" t="s">
        <v>35</v>
      </c>
      <c r="P839" t="s">
        <v>37</v>
      </c>
      <c r="Q839">
        <v>250</v>
      </c>
      <c r="R839">
        <v>69</v>
      </c>
      <c r="S839">
        <v>22</v>
      </c>
      <c r="T839" t="s">
        <v>36</v>
      </c>
      <c r="U839" t="s">
        <v>37</v>
      </c>
      <c r="V839" t="s">
        <v>36</v>
      </c>
      <c r="W839" t="s">
        <v>60</v>
      </c>
      <c r="X839">
        <v>2023</v>
      </c>
      <c r="Y839" t="s">
        <v>116</v>
      </c>
      <c r="Z839" t="s">
        <v>104</v>
      </c>
      <c r="AA839" t="s">
        <v>41</v>
      </c>
    </row>
    <row r="840" spans="1:27" x14ac:dyDescent="0.3">
      <c r="A840" t="s">
        <v>959</v>
      </c>
      <c r="B840" t="s">
        <v>43</v>
      </c>
      <c r="C840">
        <v>38</v>
      </c>
      <c r="D840" t="s">
        <v>85</v>
      </c>
      <c r="E840" t="s">
        <v>86</v>
      </c>
      <c r="F840" t="s">
        <v>31</v>
      </c>
      <c r="G840">
        <v>61672</v>
      </c>
      <c r="H840" s="1">
        <v>45826</v>
      </c>
      <c r="I840" t="s">
        <v>107</v>
      </c>
      <c r="J840" t="s">
        <v>99</v>
      </c>
      <c r="K840" t="s">
        <v>49</v>
      </c>
      <c r="L840">
        <v>7</v>
      </c>
      <c r="M840">
        <v>5</v>
      </c>
      <c r="N840">
        <v>4</v>
      </c>
      <c r="O840" t="s">
        <v>59</v>
      </c>
      <c r="P840" t="s">
        <v>36</v>
      </c>
      <c r="Q840">
        <v>212</v>
      </c>
      <c r="R840">
        <v>65</v>
      </c>
      <c r="S840">
        <v>3</v>
      </c>
      <c r="T840" t="s">
        <v>36</v>
      </c>
      <c r="U840" t="s">
        <v>37</v>
      </c>
      <c r="V840" t="s">
        <v>36</v>
      </c>
      <c r="W840" t="s">
        <v>126</v>
      </c>
      <c r="X840">
        <v>2025</v>
      </c>
      <c r="Y840" t="s">
        <v>61</v>
      </c>
      <c r="Z840" t="s">
        <v>62</v>
      </c>
      <c r="AA840" t="s">
        <v>52</v>
      </c>
    </row>
    <row r="841" spans="1:27" x14ac:dyDescent="0.3">
      <c r="A841" t="s">
        <v>960</v>
      </c>
      <c r="B841" t="s">
        <v>43</v>
      </c>
      <c r="C841">
        <v>30</v>
      </c>
      <c r="D841" t="s">
        <v>29</v>
      </c>
      <c r="E841" t="s">
        <v>103</v>
      </c>
      <c r="F841" t="s">
        <v>56</v>
      </c>
      <c r="G841">
        <v>28091</v>
      </c>
      <c r="H841" s="1">
        <v>44472</v>
      </c>
      <c r="I841" t="s">
        <v>98</v>
      </c>
      <c r="J841" t="s">
        <v>67</v>
      </c>
      <c r="K841" t="s">
        <v>34</v>
      </c>
      <c r="L841">
        <v>2</v>
      </c>
      <c r="M841">
        <v>4</v>
      </c>
      <c r="N841">
        <v>3</v>
      </c>
      <c r="O841" t="s">
        <v>68</v>
      </c>
      <c r="P841" t="s">
        <v>36</v>
      </c>
      <c r="Q841">
        <v>193</v>
      </c>
      <c r="R841">
        <v>56</v>
      </c>
      <c r="S841">
        <v>14</v>
      </c>
      <c r="T841" t="s">
        <v>36</v>
      </c>
      <c r="U841" t="s">
        <v>37</v>
      </c>
      <c r="V841" t="s">
        <v>36</v>
      </c>
      <c r="W841" t="s">
        <v>60</v>
      </c>
      <c r="X841">
        <v>2021</v>
      </c>
      <c r="Y841" t="s">
        <v>83</v>
      </c>
      <c r="Z841" t="s">
        <v>75</v>
      </c>
      <c r="AA841" t="s">
        <v>63</v>
      </c>
    </row>
    <row r="842" spans="1:27" x14ac:dyDescent="0.3">
      <c r="A842" t="s">
        <v>961</v>
      </c>
      <c r="B842" t="s">
        <v>28</v>
      </c>
      <c r="C842">
        <v>31</v>
      </c>
      <c r="D842" t="s">
        <v>77</v>
      </c>
      <c r="E842" t="s">
        <v>138</v>
      </c>
      <c r="F842" t="s">
        <v>46</v>
      </c>
      <c r="G842">
        <v>98533</v>
      </c>
      <c r="H842" s="1">
        <v>44783</v>
      </c>
      <c r="I842" t="s">
        <v>47</v>
      </c>
      <c r="J842" t="s">
        <v>99</v>
      </c>
      <c r="K842" t="s">
        <v>34</v>
      </c>
      <c r="L842">
        <v>8</v>
      </c>
      <c r="M842">
        <v>3</v>
      </c>
      <c r="N842">
        <v>1</v>
      </c>
      <c r="O842" t="s">
        <v>35</v>
      </c>
      <c r="P842" t="s">
        <v>36</v>
      </c>
      <c r="Q842">
        <v>189</v>
      </c>
      <c r="R842">
        <v>65</v>
      </c>
      <c r="S842">
        <v>3</v>
      </c>
      <c r="T842" t="s">
        <v>36</v>
      </c>
      <c r="U842" t="s">
        <v>36</v>
      </c>
      <c r="V842" t="s">
        <v>36</v>
      </c>
      <c r="W842" t="s">
        <v>60</v>
      </c>
      <c r="X842">
        <v>2022</v>
      </c>
      <c r="Y842" t="s">
        <v>128</v>
      </c>
      <c r="Z842" t="s">
        <v>40</v>
      </c>
      <c r="AA842" t="s">
        <v>87</v>
      </c>
    </row>
    <row r="843" spans="1:27" x14ac:dyDescent="0.3">
      <c r="A843" t="s">
        <v>962</v>
      </c>
      <c r="B843" t="s">
        <v>28</v>
      </c>
      <c r="C843">
        <v>36</v>
      </c>
      <c r="D843" t="s">
        <v>77</v>
      </c>
      <c r="E843" t="s">
        <v>133</v>
      </c>
      <c r="F843" t="s">
        <v>46</v>
      </c>
      <c r="G843">
        <v>66113</v>
      </c>
      <c r="H843" s="1">
        <v>46072</v>
      </c>
      <c r="I843" t="s">
        <v>57</v>
      </c>
      <c r="J843" t="s">
        <v>48</v>
      </c>
      <c r="K843" t="s">
        <v>49</v>
      </c>
      <c r="L843">
        <v>14</v>
      </c>
      <c r="M843">
        <v>5</v>
      </c>
      <c r="N843">
        <v>2</v>
      </c>
      <c r="O843" t="s">
        <v>50</v>
      </c>
      <c r="P843" t="s">
        <v>37</v>
      </c>
      <c r="Q843">
        <v>158</v>
      </c>
      <c r="R843">
        <v>72</v>
      </c>
      <c r="S843">
        <v>5</v>
      </c>
      <c r="T843" t="s">
        <v>36</v>
      </c>
      <c r="U843" t="s">
        <v>37</v>
      </c>
      <c r="V843" t="s">
        <v>36</v>
      </c>
      <c r="W843" t="s">
        <v>60</v>
      </c>
      <c r="X843">
        <v>2026</v>
      </c>
      <c r="Y843" t="s">
        <v>39</v>
      </c>
      <c r="Z843" t="s">
        <v>62</v>
      </c>
      <c r="AA843" t="s">
        <v>52</v>
      </c>
    </row>
    <row r="844" spans="1:27" x14ac:dyDescent="0.3">
      <c r="A844" t="s">
        <v>963</v>
      </c>
      <c r="B844" t="s">
        <v>43</v>
      </c>
      <c r="C844">
        <v>24</v>
      </c>
      <c r="D844" t="s">
        <v>81</v>
      </c>
      <c r="E844" t="s">
        <v>113</v>
      </c>
      <c r="F844" t="s">
        <v>96</v>
      </c>
      <c r="G844">
        <v>155332</v>
      </c>
      <c r="H844" s="1">
        <v>45578</v>
      </c>
      <c r="I844" t="s">
        <v>57</v>
      </c>
      <c r="J844" t="s">
        <v>118</v>
      </c>
      <c r="K844" t="s">
        <v>49</v>
      </c>
      <c r="L844">
        <v>11</v>
      </c>
      <c r="M844">
        <v>2</v>
      </c>
      <c r="N844">
        <v>4</v>
      </c>
      <c r="O844" t="s">
        <v>68</v>
      </c>
      <c r="P844" t="s">
        <v>36</v>
      </c>
      <c r="Q844">
        <v>247</v>
      </c>
      <c r="R844">
        <v>24</v>
      </c>
      <c r="S844">
        <v>23</v>
      </c>
      <c r="T844" t="s">
        <v>37</v>
      </c>
      <c r="U844" t="s">
        <v>36</v>
      </c>
      <c r="V844" t="s">
        <v>36</v>
      </c>
      <c r="W844" t="s">
        <v>60</v>
      </c>
      <c r="X844">
        <v>2024</v>
      </c>
      <c r="Y844" t="s">
        <v>83</v>
      </c>
      <c r="Z844" t="s">
        <v>104</v>
      </c>
      <c r="AA844" t="s">
        <v>105</v>
      </c>
    </row>
    <row r="845" spans="1:27" x14ac:dyDescent="0.3">
      <c r="A845" t="s">
        <v>964</v>
      </c>
      <c r="B845" t="s">
        <v>43</v>
      </c>
      <c r="C845">
        <v>34</v>
      </c>
      <c r="D845" t="s">
        <v>81</v>
      </c>
      <c r="E845" t="s">
        <v>113</v>
      </c>
      <c r="F845" t="s">
        <v>46</v>
      </c>
      <c r="G845">
        <v>91715</v>
      </c>
      <c r="H845" s="1">
        <v>44115</v>
      </c>
      <c r="I845" t="s">
        <v>98</v>
      </c>
      <c r="J845" t="s">
        <v>118</v>
      </c>
      <c r="K845" t="s">
        <v>58</v>
      </c>
      <c r="L845">
        <v>9</v>
      </c>
      <c r="M845">
        <v>1</v>
      </c>
      <c r="N845">
        <v>2</v>
      </c>
      <c r="O845" t="s">
        <v>35</v>
      </c>
      <c r="P845" t="s">
        <v>36</v>
      </c>
      <c r="Q845">
        <v>246</v>
      </c>
      <c r="R845">
        <v>44</v>
      </c>
      <c r="S845">
        <v>26</v>
      </c>
      <c r="T845" t="s">
        <v>36</v>
      </c>
      <c r="U845" t="s">
        <v>36</v>
      </c>
      <c r="V845" t="s">
        <v>36</v>
      </c>
      <c r="W845" t="s">
        <v>60</v>
      </c>
      <c r="X845">
        <v>2020</v>
      </c>
      <c r="Y845" t="s">
        <v>83</v>
      </c>
      <c r="Z845" t="s">
        <v>40</v>
      </c>
      <c r="AA845" t="s">
        <v>87</v>
      </c>
    </row>
    <row r="846" spans="1:27" x14ac:dyDescent="0.3">
      <c r="A846" t="s">
        <v>965</v>
      </c>
      <c r="B846" t="s">
        <v>43</v>
      </c>
      <c r="C846">
        <v>33</v>
      </c>
      <c r="D846" t="s">
        <v>29</v>
      </c>
      <c r="E846" t="s">
        <v>122</v>
      </c>
      <c r="F846" t="s">
        <v>46</v>
      </c>
      <c r="G846">
        <v>106394</v>
      </c>
      <c r="H846" s="1">
        <v>44107</v>
      </c>
      <c r="I846" t="s">
        <v>32</v>
      </c>
      <c r="J846" t="s">
        <v>91</v>
      </c>
      <c r="K846" t="s">
        <v>49</v>
      </c>
      <c r="L846">
        <v>11</v>
      </c>
      <c r="M846">
        <v>3</v>
      </c>
      <c r="N846">
        <v>3</v>
      </c>
      <c r="O846" t="s">
        <v>68</v>
      </c>
      <c r="P846" t="s">
        <v>36</v>
      </c>
      <c r="Q846">
        <v>260</v>
      </c>
      <c r="R846">
        <v>42</v>
      </c>
      <c r="S846">
        <v>8</v>
      </c>
      <c r="T846" t="s">
        <v>36</v>
      </c>
      <c r="U846" t="s">
        <v>37</v>
      </c>
      <c r="V846" t="s">
        <v>36</v>
      </c>
      <c r="W846" t="s">
        <v>60</v>
      </c>
      <c r="X846">
        <v>2020</v>
      </c>
      <c r="Y846" t="s">
        <v>83</v>
      </c>
      <c r="Z846" t="s">
        <v>40</v>
      </c>
      <c r="AA846" t="s">
        <v>87</v>
      </c>
    </row>
    <row r="847" spans="1:27" x14ac:dyDescent="0.3">
      <c r="A847" t="s">
        <v>966</v>
      </c>
      <c r="B847" t="s">
        <v>28</v>
      </c>
      <c r="C847">
        <v>35</v>
      </c>
      <c r="D847" t="s">
        <v>89</v>
      </c>
      <c r="E847" t="s">
        <v>130</v>
      </c>
      <c r="F847" t="s">
        <v>46</v>
      </c>
      <c r="G847">
        <v>91947</v>
      </c>
      <c r="H847" s="1">
        <v>44656</v>
      </c>
      <c r="I847" t="s">
        <v>57</v>
      </c>
      <c r="J847" t="s">
        <v>91</v>
      </c>
      <c r="K847" t="s">
        <v>58</v>
      </c>
      <c r="L847">
        <v>9</v>
      </c>
      <c r="M847">
        <v>5</v>
      </c>
      <c r="N847">
        <v>5</v>
      </c>
      <c r="O847" t="s">
        <v>68</v>
      </c>
      <c r="P847" t="s">
        <v>36</v>
      </c>
      <c r="Q847">
        <v>214</v>
      </c>
      <c r="R847">
        <v>40</v>
      </c>
      <c r="S847">
        <v>12</v>
      </c>
      <c r="T847" t="s">
        <v>36</v>
      </c>
      <c r="U847" t="s">
        <v>37</v>
      </c>
      <c r="V847" t="s">
        <v>36</v>
      </c>
      <c r="W847" t="s">
        <v>60</v>
      </c>
      <c r="X847">
        <v>2022</v>
      </c>
      <c r="Y847" t="s">
        <v>69</v>
      </c>
      <c r="Z847" t="s">
        <v>40</v>
      </c>
      <c r="AA847" t="s">
        <v>87</v>
      </c>
    </row>
    <row r="848" spans="1:27" x14ac:dyDescent="0.3">
      <c r="A848" t="s">
        <v>967</v>
      </c>
      <c r="B848" t="s">
        <v>43</v>
      </c>
      <c r="C848">
        <v>34</v>
      </c>
      <c r="D848" t="s">
        <v>29</v>
      </c>
      <c r="E848" t="s">
        <v>30</v>
      </c>
      <c r="F848" t="s">
        <v>56</v>
      </c>
      <c r="G848">
        <v>37492</v>
      </c>
      <c r="H848" s="1">
        <v>44659</v>
      </c>
      <c r="I848" t="s">
        <v>98</v>
      </c>
      <c r="J848" t="s">
        <v>67</v>
      </c>
      <c r="K848" t="s">
        <v>34</v>
      </c>
      <c r="L848">
        <v>0</v>
      </c>
      <c r="M848">
        <v>2</v>
      </c>
      <c r="N848">
        <v>2</v>
      </c>
      <c r="O848" t="s">
        <v>50</v>
      </c>
      <c r="P848" t="s">
        <v>37</v>
      </c>
      <c r="Q848">
        <v>176</v>
      </c>
      <c r="R848">
        <v>20</v>
      </c>
      <c r="S848">
        <v>14</v>
      </c>
      <c r="T848" t="s">
        <v>36</v>
      </c>
      <c r="U848" t="s">
        <v>36</v>
      </c>
      <c r="V848" t="s">
        <v>37</v>
      </c>
      <c r="W848" t="s">
        <v>38</v>
      </c>
      <c r="X848">
        <v>2022</v>
      </c>
      <c r="Y848" t="s">
        <v>69</v>
      </c>
      <c r="Z848" t="s">
        <v>40</v>
      </c>
      <c r="AA848" t="s">
        <v>63</v>
      </c>
    </row>
    <row r="849" spans="1:27" x14ac:dyDescent="0.3">
      <c r="A849" t="s">
        <v>968</v>
      </c>
      <c r="B849" t="s">
        <v>28</v>
      </c>
      <c r="C849">
        <v>49</v>
      </c>
      <c r="D849" t="s">
        <v>85</v>
      </c>
      <c r="E849" t="s">
        <v>86</v>
      </c>
      <c r="F849" t="s">
        <v>56</v>
      </c>
      <c r="G849">
        <v>31099</v>
      </c>
      <c r="H849" s="1">
        <v>45621</v>
      </c>
      <c r="I849" t="s">
        <v>57</v>
      </c>
      <c r="J849" t="s">
        <v>33</v>
      </c>
      <c r="K849" t="s">
        <v>49</v>
      </c>
      <c r="L849">
        <v>3</v>
      </c>
      <c r="M849">
        <v>4</v>
      </c>
      <c r="N849">
        <v>1</v>
      </c>
      <c r="O849" t="s">
        <v>68</v>
      </c>
      <c r="P849" t="s">
        <v>36</v>
      </c>
      <c r="Q849">
        <v>156</v>
      </c>
      <c r="R849">
        <v>22</v>
      </c>
      <c r="S849">
        <v>14</v>
      </c>
      <c r="T849" t="s">
        <v>36</v>
      </c>
      <c r="U849" t="s">
        <v>36</v>
      </c>
      <c r="V849" t="s">
        <v>36</v>
      </c>
      <c r="W849" t="s">
        <v>60</v>
      </c>
      <c r="X849">
        <v>2024</v>
      </c>
      <c r="Y849" t="s">
        <v>123</v>
      </c>
      <c r="Z849" t="s">
        <v>70</v>
      </c>
      <c r="AA849" t="s">
        <v>63</v>
      </c>
    </row>
    <row r="850" spans="1:27" x14ac:dyDescent="0.3">
      <c r="A850" t="s">
        <v>969</v>
      </c>
      <c r="B850" t="s">
        <v>28</v>
      </c>
      <c r="C850">
        <v>27</v>
      </c>
      <c r="D850" t="s">
        <v>29</v>
      </c>
      <c r="E850" t="s">
        <v>122</v>
      </c>
      <c r="F850" t="s">
        <v>56</v>
      </c>
      <c r="G850">
        <v>30517</v>
      </c>
      <c r="H850" s="1">
        <v>45972</v>
      </c>
      <c r="I850" t="s">
        <v>98</v>
      </c>
      <c r="J850" t="s">
        <v>118</v>
      </c>
      <c r="K850" t="s">
        <v>34</v>
      </c>
      <c r="L850">
        <v>0</v>
      </c>
      <c r="M850">
        <v>5</v>
      </c>
      <c r="N850">
        <v>4</v>
      </c>
      <c r="O850" t="s">
        <v>35</v>
      </c>
      <c r="P850" t="s">
        <v>36</v>
      </c>
      <c r="Q850">
        <v>199</v>
      </c>
      <c r="R850">
        <v>6</v>
      </c>
      <c r="S850">
        <v>7</v>
      </c>
      <c r="T850" t="s">
        <v>37</v>
      </c>
      <c r="U850" t="s">
        <v>37</v>
      </c>
      <c r="V850" t="s">
        <v>36</v>
      </c>
      <c r="W850" t="s">
        <v>60</v>
      </c>
      <c r="X850">
        <v>2025</v>
      </c>
      <c r="Y850" t="s">
        <v>123</v>
      </c>
      <c r="Z850" t="s">
        <v>75</v>
      </c>
      <c r="AA850" t="s">
        <v>63</v>
      </c>
    </row>
    <row r="851" spans="1:27" x14ac:dyDescent="0.3">
      <c r="A851" t="s">
        <v>970</v>
      </c>
      <c r="B851" t="s">
        <v>28</v>
      </c>
      <c r="C851">
        <v>28</v>
      </c>
      <c r="D851" t="s">
        <v>54</v>
      </c>
      <c r="E851" t="s">
        <v>207</v>
      </c>
      <c r="F851" t="s">
        <v>96</v>
      </c>
      <c r="G851">
        <v>104681</v>
      </c>
      <c r="H851" s="1">
        <v>43989</v>
      </c>
      <c r="I851" t="s">
        <v>47</v>
      </c>
      <c r="J851" t="s">
        <v>67</v>
      </c>
      <c r="K851" t="s">
        <v>34</v>
      </c>
      <c r="L851">
        <v>16</v>
      </c>
      <c r="M851">
        <v>5</v>
      </c>
      <c r="N851">
        <v>5</v>
      </c>
      <c r="O851" t="s">
        <v>50</v>
      </c>
      <c r="P851" t="s">
        <v>37</v>
      </c>
      <c r="Q851">
        <v>181</v>
      </c>
      <c r="R851">
        <v>20</v>
      </c>
      <c r="S851">
        <v>25</v>
      </c>
      <c r="T851" t="s">
        <v>36</v>
      </c>
      <c r="U851" t="s">
        <v>36</v>
      </c>
      <c r="V851" t="s">
        <v>36</v>
      </c>
      <c r="W851" t="s">
        <v>60</v>
      </c>
      <c r="X851">
        <v>2020</v>
      </c>
      <c r="Y851" t="s">
        <v>61</v>
      </c>
      <c r="Z851" t="s">
        <v>75</v>
      </c>
      <c r="AA851" t="s">
        <v>87</v>
      </c>
    </row>
    <row r="852" spans="1:27" x14ac:dyDescent="0.3">
      <c r="A852" t="s">
        <v>971</v>
      </c>
      <c r="B852" t="s">
        <v>28</v>
      </c>
      <c r="C852">
        <v>27</v>
      </c>
      <c r="D852" t="s">
        <v>77</v>
      </c>
      <c r="E852" t="s">
        <v>78</v>
      </c>
      <c r="F852" t="s">
        <v>46</v>
      </c>
      <c r="G852">
        <v>73776</v>
      </c>
      <c r="H852" s="1">
        <v>43778</v>
      </c>
      <c r="I852" t="s">
        <v>98</v>
      </c>
      <c r="J852" t="s">
        <v>67</v>
      </c>
      <c r="K852" t="s">
        <v>58</v>
      </c>
      <c r="L852">
        <v>5</v>
      </c>
      <c r="M852">
        <v>3</v>
      </c>
      <c r="N852">
        <v>5</v>
      </c>
      <c r="O852" t="s">
        <v>50</v>
      </c>
      <c r="P852" t="s">
        <v>37</v>
      </c>
      <c r="Q852">
        <v>253</v>
      </c>
      <c r="R852">
        <v>33</v>
      </c>
      <c r="S852">
        <v>9</v>
      </c>
      <c r="T852" t="s">
        <v>36</v>
      </c>
      <c r="U852" t="s">
        <v>37</v>
      </c>
      <c r="V852" t="s">
        <v>36</v>
      </c>
      <c r="W852" t="s">
        <v>126</v>
      </c>
      <c r="X852">
        <v>2019</v>
      </c>
      <c r="Y852" t="s">
        <v>123</v>
      </c>
      <c r="Z852" t="s">
        <v>75</v>
      </c>
      <c r="AA852" t="s">
        <v>52</v>
      </c>
    </row>
    <row r="853" spans="1:27" x14ac:dyDescent="0.3">
      <c r="A853" t="s">
        <v>972</v>
      </c>
      <c r="B853" t="s">
        <v>43</v>
      </c>
      <c r="C853">
        <v>28</v>
      </c>
      <c r="D853" t="s">
        <v>29</v>
      </c>
      <c r="E853" t="s">
        <v>93</v>
      </c>
      <c r="F853" t="s">
        <v>96</v>
      </c>
      <c r="G853">
        <v>115520</v>
      </c>
      <c r="H853" s="1">
        <v>44111</v>
      </c>
      <c r="I853" t="s">
        <v>47</v>
      </c>
      <c r="J853" t="s">
        <v>67</v>
      </c>
      <c r="K853" t="s">
        <v>49</v>
      </c>
      <c r="L853">
        <v>10</v>
      </c>
      <c r="M853">
        <v>2</v>
      </c>
      <c r="N853">
        <v>5</v>
      </c>
      <c r="O853" t="s">
        <v>50</v>
      </c>
      <c r="P853" t="s">
        <v>36</v>
      </c>
      <c r="Q853">
        <v>214</v>
      </c>
      <c r="R853">
        <v>58</v>
      </c>
      <c r="S853">
        <v>4</v>
      </c>
      <c r="T853" t="s">
        <v>37</v>
      </c>
      <c r="U853" t="s">
        <v>36</v>
      </c>
      <c r="V853" t="s">
        <v>37</v>
      </c>
      <c r="W853" t="s">
        <v>38</v>
      </c>
      <c r="X853">
        <v>2020</v>
      </c>
      <c r="Y853" t="s">
        <v>83</v>
      </c>
      <c r="Z853" t="s">
        <v>75</v>
      </c>
      <c r="AA853" t="s">
        <v>87</v>
      </c>
    </row>
    <row r="854" spans="1:27" x14ac:dyDescent="0.3">
      <c r="A854" t="s">
        <v>973</v>
      </c>
      <c r="B854" t="s">
        <v>43</v>
      </c>
      <c r="C854">
        <v>27</v>
      </c>
      <c r="D854" t="s">
        <v>29</v>
      </c>
      <c r="E854" t="s">
        <v>30</v>
      </c>
      <c r="F854" t="s">
        <v>31</v>
      </c>
      <c r="G854">
        <v>59028</v>
      </c>
      <c r="H854" s="1">
        <v>45134</v>
      </c>
      <c r="I854" t="s">
        <v>47</v>
      </c>
      <c r="J854" t="s">
        <v>118</v>
      </c>
      <c r="K854" t="s">
        <v>49</v>
      </c>
      <c r="L854">
        <v>6</v>
      </c>
      <c r="M854">
        <v>1</v>
      </c>
      <c r="N854">
        <v>3</v>
      </c>
      <c r="O854" t="s">
        <v>35</v>
      </c>
      <c r="P854" t="s">
        <v>36</v>
      </c>
      <c r="Q854">
        <v>152</v>
      </c>
      <c r="R854">
        <v>71</v>
      </c>
      <c r="S854">
        <v>24</v>
      </c>
      <c r="T854" t="s">
        <v>37</v>
      </c>
      <c r="U854" t="s">
        <v>36</v>
      </c>
      <c r="V854" t="s">
        <v>36</v>
      </c>
      <c r="W854" t="s">
        <v>60</v>
      </c>
      <c r="X854">
        <v>2023</v>
      </c>
      <c r="Y854" t="s">
        <v>79</v>
      </c>
      <c r="Z854" t="s">
        <v>75</v>
      </c>
      <c r="AA854" t="s">
        <v>41</v>
      </c>
    </row>
    <row r="855" spans="1:27" x14ac:dyDescent="0.3">
      <c r="A855" t="s">
        <v>974</v>
      </c>
      <c r="B855" t="s">
        <v>28</v>
      </c>
      <c r="C855">
        <v>40</v>
      </c>
      <c r="D855" t="s">
        <v>77</v>
      </c>
      <c r="E855" t="s">
        <v>182</v>
      </c>
      <c r="F855" t="s">
        <v>56</v>
      </c>
      <c r="G855">
        <v>34322</v>
      </c>
      <c r="H855" s="1">
        <v>45596</v>
      </c>
      <c r="I855" t="s">
        <v>57</v>
      </c>
      <c r="J855" t="s">
        <v>118</v>
      </c>
      <c r="K855" t="s">
        <v>58</v>
      </c>
      <c r="L855">
        <v>0</v>
      </c>
      <c r="M855">
        <v>2</v>
      </c>
      <c r="N855">
        <v>3</v>
      </c>
      <c r="O855" t="s">
        <v>59</v>
      </c>
      <c r="P855" t="s">
        <v>36</v>
      </c>
      <c r="Q855">
        <v>200</v>
      </c>
      <c r="R855">
        <v>14</v>
      </c>
      <c r="S855">
        <v>12</v>
      </c>
      <c r="T855" t="s">
        <v>36</v>
      </c>
      <c r="U855" t="s">
        <v>37</v>
      </c>
      <c r="V855" t="s">
        <v>36</v>
      </c>
      <c r="W855" t="s">
        <v>60</v>
      </c>
      <c r="X855">
        <v>2024</v>
      </c>
      <c r="Y855" t="s">
        <v>83</v>
      </c>
      <c r="Z855" t="s">
        <v>62</v>
      </c>
      <c r="AA855" t="s">
        <v>63</v>
      </c>
    </row>
    <row r="856" spans="1:27" x14ac:dyDescent="0.3">
      <c r="A856" t="s">
        <v>975</v>
      </c>
      <c r="B856" t="s">
        <v>28</v>
      </c>
      <c r="C856">
        <v>41</v>
      </c>
      <c r="D856" t="s">
        <v>85</v>
      </c>
      <c r="E856" t="s">
        <v>168</v>
      </c>
      <c r="F856" t="s">
        <v>46</v>
      </c>
      <c r="G856">
        <v>87317</v>
      </c>
      <c r="H856" s="1">
        <v>43679</v>
      </c>
      <c r="I856" t="s">
        <v>47</v>
      </c>
      <c r="J856" t="s">
        <v>101</v>
      </c>
      <c r="K856" t="s">
        <v>49</v>
      </c>
      <c r="L856">
        <v>10</v>
      </c>
      <c r="M856">
        <v>4</v>
      </c>
      <c r="N856">
        <v>5</v>
      </c>
      <c r="O856" t="s">
        <v>68</v>
      </c>
      <c r="P856" t="s">
        <v>36</v>
      </c>
      <c r="Q856">
        <v>173</v>
      </c>
      <c r="R856">
        <v>31</v>
      </c>
      <c r="S856">
        <v>18</v>
      </c>
      <c r="T856" t="s">
        <v>36</v>
      </c>
      <c r="U856" t="s">
        <v>36</v>
      </c>
      <c r="V856" t="s">
        <v>36</v>
      </c>
      <c r="W856" t="s">
        <v>60</v>
      </c>
      <c r="X856">
        <v>2019</v>
      </c>
      <c r="Y856" t="s">
        <v>128</v>
      </c>
      <c r="Z856" t="s">
        <v>70</v>
      </c>
      <c r="AA856" t="s">
        <v>52</v>
      </c>
    </row>
    <row r="857" spans="1:27" x14ac:dyDescent="0.3">
      <c r="A857" t="s">
        <v>976</v>
      </c>
      <c r="B857" t="s">
        <v>28</v>
      </c>
      <c r="C857">
        <v>28</v>
      </c>
      <c r="D857" t="s">
        <v>54</v>
      </c>
      <c r="E857" t="s">
        <v>111</v>
      </c>
      <c r="F857" t="s">
        <v>46</v>
      </c>
      <c r="G857">
        <v>101341</v>
      </c>
      <c r="H857" s="1">
        <v>45627</v>
      </c>
      <c r="I857" t="s">
        <v>98</v>
      </c>
      <c r="J857" t="s">
        <v>73</v>
      </c>
      <c r="K857" t="s">
        <v>49</v>
      </c>
      <c r="L857">
        <v>5</v>
      </c>
      <c r="M857">
        <v>4</v>
      </c>
      <c r="N857">
        <v>2</v>
      </c>
      <c r="O857" t="s">
        <v>35</v>
      </c>
      <c r="P857" t="s">
        <v>36</v>
      </c>
      <c r="Q857">
        <v>188</v>
      </c>
      <c r="R857">
        <v>32</v>
      </c>
      <c r="S857">
        <v>9</v>
      </c>
      <c r="T857" t="s">
        <v>36</v>
      </c>
      <c r="U857" t="s">
        <v>36</v>
      </c>
      <c r="V857" t="s">
        <v>36</v>
      </c>
      <c r="W857" t="s">
        <v>60</v>
      </c>
      <c r="X857">
        <v>2024</v>
      </c>
      <c r="Y857" t="s">
        <v>116</v>
      </c>
      <c r="Z857" t="s">
        <v>75</v>
      </c>
      <c r="AA857" t="s">
        <v>87</v>
      </c>
    </row>
    <row r="858" spans="1:27" x14ac:dyDescent="0.3">
      <c r="A858" t="s">
        <v>977</v>
      </c>
      <c r="B858" t="s">
        <v>28</v>
      </c>
      <c r="C858">
        <v>26</v>
      </c>
      <c r="D858" t="s">
        <v>29</v>
      </c>
      <c r="E858" t="s">
        <v>103</v>
      </c>
      <c r="F858" t="s">
        <v>46</v>
      </c>
      <c r="G858">
        <v>94591</v>
      </c>
      <c r="H858" s="1">
        <v>45946</v>
      </c>
      <c r="I858" t="s">
        <v>107</v>
      </c>
      <c r="J858" t="s">
        <v>73</v>
      </c>
      <c r="K858" t="s">
        <v>58</v>
      </c>
      <c r="L858">
        <v>5</v>
      </c>
      <c r="M858">
        <v>1</v>
      </c>
      <c r="N858">
        <v>5</v>
      </c>
      <c r="O858" t="s">
        <v>59</v>
      </c>
      <c r="P858" t="s">
        <v>36</v>
      </c>
      <c r="Q858">
        <v>222</v>
      </c>
      <c r="R858">
        <v>37</v>
      </c>
      <c r="S858">
        <v>20</v>
      </c>
      <c r="T858" t="s">
        <v>37</v>
      </c>
      <c r="U858" t="s">
        <v>37</v>
      </c>
      <c r="V858" t="s">
        <v>36</v>
      </c>
      <c r="W858" t="s">
        <v>126</v>
      </c>
      <c r="X858">
        <v>2025</v>
      </c>
      <c r="Y858" t="s">
        <v>83</v>
      </c>
      <c r="Z858" t="s">
        <v>75</v>
      </c>
      <c r="AA858" t="s">
        <v>87</v>
      </c>
    </row>
    <row r="859" spans="1:27" x14ac:dyDescent="0.3">
      <c r="A859" t="s">
        <v>978</v>
      </c>
      <c r="B859" t="s">
        <v>43</v>
      </c>
      <c r="C859">
        <v>35</v>
      </c>
      <c r="D859" t="s">
        <v>77</v>
      </c>
      <c r="E859" t="s">
        <v>78</v>
      </c>
      <c r="F859" t="s">
        <v>96</v>
      </c>
      <c r="G859">
        <v>101751</v>
      </c>
      <c r="H859" s="1">
        <v>44676</v>
      </c>
      <c r="I859" t="s">
        <v>98</v>
      </c>
      <c r="J859" t="s">
        <v>33</v>
      </c>
      <c r="K859" t="s">
        <v>58</v>
      </c>
      <c r="L859">
        <v>16</v>
      </c>
      <c r="M859">
        <v>2</v>
      </c>
      <c r="N859">
        <v>5</v>
      </c>
      <c r="O859" t="s">
        <v>50</v>
      </c>
      <c r="P859" t="s">
        <v>36</v>
      </c>
      <c r="Q859">
        <v>224</v>
      </c>
      <c r="R859">
        <v>77</v>
      </c>
      <c r="S859">
        <v>5</v>
      </c>
      <c r="T859" t="s">
        <v>36</v>
      </c>
      <c r="U859" t="s">
        <v>36</v>
      </c>
      <c r="V859" t="s">
        <v>36</v>
      </c>
      <c r="W859" t="s">
        <v>60</v>
      </c>
      <c r="X859">
        <v>2022</v>
      </c>
      <c r="Y859" t="s">
        <v>69</v>
      </c>
      <c r="Z859" t="s">
        <v>40</v>
      </c>
      <c r="AA859" t="s">
        <v>87</v>
      </c>
    </row>
    <row r="860" spans="1:27" x14ac:dyDescent="0.3">
      <c r="A860" t="s">
        <v>979</v>
      </c>
      <c r="B860" t="s">
        <v>43</v>
      </c>
      <c r="C860">
        <v>28</v>
      </c>
      <c r="D860" t="s">
        <v>44</v>
      </c>
      <c r="E860" t="s">
        <v>115</v>
      </c>
      <c r="F860" t="s">
        <v>31</v>
      </c>
      <c r="G860">
        <v>45550</v>
      </c>
      <c r="H860" s="1">
        <v>44379</v>
      </c>
      <c r="I860" t="s">
        <v>57</v>
      </c>
      <c r="J860" t="s">
        <v>101</v>
      </c>
      <c r="K860" t="s">
        <v>58</v>
      </c>
      <c r="L860">
        <v>3</v>
      </c>
      <c r="M860">
        <v>3</v>
      </c>
      <c r="N860">
        <v>2</v>
      </c>
      <c r="O860" t="s">
        <v>59</v>
      </c>
      <c r="P860" t="s">
        <v>36</v>
      </c>
      <c r="Q860">
        <v>201</v>
      </c>
      <c r="R860">
        <v>20</v>
      </c>
      <c r="S860">
        <v>16</v>
      </c>
      <c r="T860" t="s">
        <v>36</v>
      </c>
      <c r="U860" t="s">
        <v>37</v>
      </c>
      <c r="V860" t="s">
        <v>36</v>
      </c>
      <c r="W860" t="s">
        <v>60</v>
      </c>
      <c r="X860">
        <v>2021</v>
      </c>
      <c r="Y860" t="s">
        <v>79</v>
      </c>
      <c r="Z860" t="s">
        <v>75</v>
      </c>
      <c r="AA860" t="s">
        <v>41</v>
      </c>
    </row>
    <row r="861" spans="1:27" x14ac:dyDescent="0.3">
      <c r="A861" t="s">
        <v>980</v>
      </c>
      <c r="B861" t="s">
        <v>43</v>
      </c>
      <c r="C861">
        <v>36</v>
      </c>
      <c r="D861" t="s">
        <v>85</v>
      </c>
      <c r="E861" t="s">
        <v>168</v>
      </c>
      <c r="F861" t="s">
        <v>46</v>
      </c>
      <c r="G861">
        <v>101808</v>
      </c>
      <c r="H861" s="1">
        <v>45595</v>
      </c>
      <c r="I861" t="s">
        <v>98</v>
      </c>
      <c r="J861" t="s">
        <v>73</v>
      </c>
      <c r="K861" t="s">
        <v>34</v>
      </c>
      <c r="L861">
        <v>8</v>
      </c>
      <c r="M861">
        <v>5</v>
      </c>
      <c r="N861">
        <v>2</v>
      </c>
      <c r="O861" t="s">
        <v>35</v>
      </c>
      <c r="P861" t="s">
        <v>36</v>
      </c>
      <c r="Q861">
        <v>235</v>
      </c>
      <c r="R861">
        <v>41</v>
      </c>
      <c r="S861">
        <v>28</v>
      </c>
      <c r="T861" t="s">
        <v>37</v>
      </c>
      <c r="U861" t="s">
        <v>36</v>
      </c>
      <c r="V861" t="s">
        <v>36</v>
      </c>
      <c r="W861" t="s">
        <v>60</v>
      </c>
      <c r="X861">
        <v>2024</v>
      </c>
      <c r="Y861" t="s">
        <v>83</v>
      </c>
      <c r="Z861" t="s">
        <v>62</v>
      </c>
      <c r="AA861" t="s">
        <v>87</v>
      </c>
    </row>
    <row r="862" spans="1:27" x14ac:dyDescent="0.3">
      <c r="A862" t="s">
        <v>981</v>
      </c>
      <c r="B862" t="s">
        <v>43</v>
      </c>
      <c r="C862">
        <v>33</v>
      </c>
      <c r="D862" t="s">
        <v>54</v>
      </c>
      <c r="E862" t="s">
        <v>111</v>
      </c>
      <c r="F862" t="s">
        <v>96</v>
      </c>
      <c r="G862">
        <v>134740</v>
      </c>
      <c r="H862" s="1">
        <v>45715</v>
      </c>
      <c r="I862" t="s">
        <v>32</v>
      </c>
      <c r="J862" t="s">
        <v>118</v>
      </c>
      <c r="K862" t="s">
        <v>34</v>
      </c>
      <c r="L862">
        <v>8</v>
      </c>
      <c r="M862">
        <v>2</v>
      </c>
      <c r="N862">
        <v>4</v>
      </c>
      <c r="O862" t="s">
        <v>50</v>
      </c>
      <c r="P862" t="s">
        <v>36</v>
      </c>
      <c r="Q862">
        <v>247</v>
      </c>
      <c r="R862">
        <v>16</v>
      </c>
      <c r="S862">
        <v>27</v>
      </c>
      <c r="T862" t="s">
        <v>36</v>
      </c>
      <c r="U862" t="s">
        <v>36</v>
      </c>
      <c r="V862" t="s">
        <v>36</v>
      </c>
      <c r="W862" t="s">
        <v>126</v>
      </c>
      <c r="X862">
        <v>2025</v>
      </c>
      <c r="Y862" t="s">
        <v>39</v>
      </c>
      <c r="Z862" t="s">
        <v>40</v>
      </c>
      <c r="AA862" t="s">
        <v>105</v>
      </c>
    </row>
    <row r="863" spans="1:27" x14ac:dyDescent="0.3">
      <c r="A863" t="s">
        <v>982</v>
      </c>
      <c r="B863" t="s">
        <v>43</v>
      </c>
      <c r="C863">
        <v>21</v>
      </c>
      <c r="D863" t="s">
        <v>65</v>
      </c>
      <c r="E863" t="s">
        <v>72</v>
      </c>
      <c r="F863" t="s">
        <v>56</v>
      </c>
      <c r="G863">
        <v>35098</v>
      </c>
      <c r="H863" s="1">
        <v>45767</v>
      </c>
      <c r="I863" t="s">
        <v>98</v>
      </c>
      <c r="J863" t="s">
        <v>91</v>
      </c>
      <c r="K863" t="s">
        <v>34</v>
      </c>
      <c r="L863">
        <v>0</v>
      </c>
      <c r="M863">
        <v>4</v>
      </c>
      <c r="N863">
        <v>4</v>
      </c>
      <c r="O863" t="s">
        <v>50</v>
      </c>
      <c r="P863" t="s">
        <v>37</v>
      </c>
      <c r="Q863">
        <v>236</v>
      </c>
      <c r="R863">
        <v>20</v>
      </c>
      <c r="S863">
        <v>10</v>
      </c>
      <c r="T863" t="s">
        <v>37</v>
      </c>
      <c r="U863" t="s">
        <v>36</v>
      </c>
      <c r="V863" t="s">
        <v>36</v>
      </c>
      <c r="W863" t="s">
        <v>60</v>
      </c>
      <c r="X863">
        <v>2025</v>
      </c>
      <c r="Y863" t="s">
        <v>69</v>
      </c>
      <c r="Z863" t="s">
        <v>104</v>
      </c>
      <c r="AA863" t="s">
        <v>63</v>
      </c>
    </row>
    <row r="864" spans="1:27" x14ac:dyDescent="0.3">
      <c r="A864" t="s">
        <v>983</v>
      </c>
      <c r="B864" t="s">
        <v>43</v>
      </c>
      <c r="C864">
        <v>42</v>
      </c>
      <c r="D864" t="s">
        <v>85</v>
      </c>
      <c r="E864" t="s">
        <v>168</v>
      </c>
      <c r="F864" t="s">
        <v>46</v>
      </c>
      <c r="G864">
        <v>98359</v>
      </c>
      <c r="H864" s="1">
        <v>46030</v>
      </c>
      <c r="I864" t="s">
        <v>98</v>
      </c>
      <c r="J864" t="s">
        <v>118</v>
      </c>
      <c r="K864" t="s">
        <v>34</v>
      </c>
      <c r="L864">
        <v>9</v>
      </c>
      <c r="M864">
        <v>1</v>
      </c>
      <c r="N864">
        <v>1</v>
      </c>
      <c r="O864" t="s">
        <v>59</v>
      </c>
      <c r="P864" t="s">
        <v>37</v>
      </c>
      <c r="Q864">
        <v>211</v>
      </c>
      <c r="R864">
        <v>54</v>
      </c>
      <c r="S864">
        <v>4</v>
      </c>
      <c r="T864" t="s">
        <v>37</v>
      </c>
      <c r="U864" t="s">
        <v>36</v>
      </c>
      <c r="V864" t="s">
        <v>37</v>
      </c>
      <c r="W864" t="s">
        <v>38</v>
      </c>
      <c r="X864">
        <v>2026</v>
      </c>
      <c r="Y864" t="s">
        <v>94</v>
      </c>
      <c r="Z864" t="s">
        <v>70</v>
      </c>
      <c r="AA864" t="s">
        <v>87</v>
      </c>
    </row>
    <row r="865" spans="1:27" x14ac:dyDescent="0.3">
      <c r="A865" t="s">
        <v>984</v>
      </c>
      <c r="B865" t="s">
        <v>28</v>
      </c>
      <c r="C865">
        <v>44</v>
      </c>
      <c r="D865" t="s">
        <v>77</v>
      </c>
      <c r="E865" t="s">
        <v>138</v>
      </c>
      <c r="F865" t="s">
        <v>56</v>
      </c>
      <c r="G865">
        <v>30661</v>
      </c>
      <c r="H865" s="1">
        <v>45972</v>
      </c>
      <c r="I865" t="s">
        <v>98</v>
      </c>
      <c r="J865" t="s">
        <v>67</v>
      </c>
      <c r="K865" t="s">
        <v>58</v>
      </c>
      <c r="L865">
        <v>1</v>
      </c>
      <c r="M865">
        <v>3</v>
      </c>
      <c r="N865">
        <v>1</v>
      </c>
      <c r="O865" t="s">
        <v>50</v>
      </c>
      <c r="P865" t="s">
        <v>37</v>
      </c>
      <c r="Q865">
        <v>158</v>
      </c>
      <c r="R865">
        <v>14</v>
      </c>
      <c r="S865">
        <v>29</v>
      </c>
      <c r="T865" t="s">
        <v>36</v>
      </c>
      <c r="U865" t="s">
        <v>36</v>
      </c>
      <c r="V865" t="s">
        <v>36</v>
      </c>
      <c r="W865" t="s">
        <v>60</v>
      </c>
      <c r="X865">
        <v>2025</v>
      </c>
      <c r="Y865" t="s">
        <v>123</v>
      </c>
      <c r="Z865" t="s">
        <v>70</v>
      </c>
      <c r="AA865" t="s">
        <v>63</v>
      </c>
    </row>
    <row r="866" spans="1:27" x14ac:dyDescent="0.3">
      <c r="A866" t="s">
        <v>985</v>
      </c>
      <c r="B866" t="s">
        <v>28</v>
      </c>
      <c r="C866">
        <v>27</v>
      </c>
      <c r="D866" t="s">
        <v>89</v>
      </c>
      <c r="E866" t="s">
        <v>130</v>
      </c>
      <c r="F866" t="s">
        <v>31</v>
      </c>
      <c r="G866">
        <v>62628</v>
      </c>
      <c r="H866" s="1">
        <v>44268</v>
      </c>
      <c r="I866" t="s">
        <v>107</v>
      </c>
      <c r="J866" t="s">
        <v>33</v>
      </c>
      <c r="K866" t="s">
        <v>34</v>
      </c>
      <c r="L866">
        <v>6</v>
      </c>
      <c r="M866">
        <v>5</v>
      </c>
      <c r="N866">
        <v>4</v>
      </c>
      <c r="O866" t="s">
        <v>50</v>
      </c>
      <c r="P866" t="s">
        <v>36</v>
      </c>
      <c r="Q866">
        <v>202</v>
      </c>
      <c r="R866">
        <v>39</v>
      </c>
      <c r="S866">
        <v>2</v>
      </c>
      <c r="T866" t="s">
        <v>36</v>
      </c>
      <c r="U866" t="s">
        <v>36</v>
      </c>
      <c r="V866" t="s">
        <v>37</v>
      </c>
      <c r="W866" t="s">
        <v>38</v>
      </c>
      <c r="X866">
        <v>2021</v>
      </c>
      <c r="Y866" t="s">
        <v>142</v>
      </c>
      <c r="Z866" t="s">
        <v>75</v>
      </c>
      <c r="AA866" t="s">
        <v>52</v>
      </c>
    </row>
    <row r="867" spans="1:27" x14ac:dyDescent="0.3">
      <c r="A867" t="s">
        <v>986</v>
      </c>
      <c r="B867" t="s">
        <v>43</v>
      </c>
      <c r="C867">
        <v>29</v>
      </c>
      <c r="D867" t="s">
        <v>89</v>
      </c>
      <c r="E867" t="s">
        <v>144</v>
      </c>
      <c r="F867" t="s">
        <v>96</v>
      </c>
      <c r="G867">
        <v>111274</v>
      </c>
      <c r="H867" s="1">
        <v>45305</v>
      </c>
      <c r="I867" t="s">
        <v>107</v>
      </c>
      <c r="J867" t="s">
        <v>99</v>
      </c>
      <c r="K867" t="s">
        <v>34</v>
      </c>
      <c r="L867">
        <v>8</v>
      </c>
      <c r="M867">
        <v>2</v>
      </c>
      <c r="N867">
        <v>4</v>
      </c>
      <c r="O867" t="s">
        <v>35</v>
      </c>
      <c r="P867" t="s">
        <v>36</v>
      </c>
      <c r="Q867">
        <v>235</v>
      </c>
      <c r="R867">
        <v>67</v>
      </c>
      <c r="S867">
        <v>25</v>
      </c>
      <c r="T867" t="s">
        <v>36</v>
      </c>
      <c r="U867" t="s">
        <v>36</v>
      </c>
      <c r="V867" t="s">
        <v>36</v>
      </c>
      <c r="W867" t="s">
        <v>126</v>
      </c>
      <c r="X867">
        <v>2024</v>
      </c>
      <c r="Y867" t="s">
        <v>94</v>
      </c>
      <c r="Z867" t="s">
        <v>75</v>
      </c>
      <c r="AA867" t="s">
        <v>87</v>
      </c>
    </row>
    <row r="868" spans="1:27" x14ac:dyDescent="0.3">
      <c r="A868" t="s">
        <v>987</v>
      </c>
      <c r="B868" t="s">
        <v>43</v>
      </c>
      <c r="C868">
        <v>34</v>
      </c>
      <c r="D868" t="s">
        <v>29</v>
      </c>
      <c r="E868" t="s">
        <v>93</v>
      </c>
      <c r="F868" t="s">
        <v>56</v>
      </c>
      <c r="G868">
        <v>36635</v>
      </c>
      <c r="H868" s="1">
        <v>45093</v>
      </c>
      <c r="I868" t="s">
        <v>47</v>
      </c>
      <c r="J868" t="s">
        <v>33</v>
      </c>
      <c r="K868" t="s">
        <v>58</v>
      </c>
      <c r="L868">
        <v>0</v>
      </c>
      <c r="M868">
        <v>5</v>
      </c>
      <c r="N868">
        <v>5</v>
      </c>
      <c r="O868" t="s">
        <v>68</v>
      </c>
      <c r="P868" t="s">
        <v>36</v>
      </c>
      <c r="Q868">
        <v>158</v>
      </c>
      <c r="R868">
        <v>45</v>
      </c>
      <c r="S868">
        <v>13</v>
      </c>
      <c r="T868" t="s">
        <v>36</v>
      </c>
      <c r="U868" t="s">
        <v>36</v>
      </c>
      <c r="V868" t="s">
        <v>36</v>
      </c>
      <c r="W868" t="s">
        <v>60</v>
      </c>
      <c r="X868">
        <v>2023</v>
      </c>
      <c r="Y868" t="s">
        <v>61</v>
      </c>
      <c r="Z868" t="s">
        <v>40</v>
      </c>
      <c r="AA868" t="s">
        <v>63</v>
      </c>
    </row>
    <row r="869" spans="1:27" x14ac:dyDescent="0.3">
      <c r="A869" t="s">
        <v>988</v>
      </c>
      <c r="B869" t="s">
        <v>28</v>
      </c>
      <c r="C869">
        <v>34</v>
      </c>
      <c r="D869" t="s">
        <v>65</v>
      </c>
      <c r="E869" t="s">
        <v>72</v>
      </c>
      <c r="F869" t="s">
        <v>56</v>
      </c>
      <c r="G869">
        <v>43308</v>
      </c>
      <c r="H869" s="1">
        <v>45367</v>
      </c>
      <c r="I869" t="s">
        <v>32</v>
      </c>
      <c r="J869" t="s">
        <v>99</v>
      </c>
      <c r="K869" t="s">
        <v>49</v>
      </c>
      <c r="L869">
        <v>0</v>
      </c>
      <c r="M869">
        <v>1</v>
      </c>
      <c r="N869">
        <v>2</v>
      </c>
      <c r="O869" t="s">
        <v>35</v>
      </c>
      <c r="P869" t="s">
        <v>37</v>
      </c>
      <c r="Q869">
        <v>236</v>
      </c>
      <c r="R869">
        <v>33</v>
      </c>
      <c r="S869">
        <v>26</v>
      </c>
      <c r="T869" t="s">
        <v>36</v>
      </c>
      <c r="U869" t="s">
        <v>37</v>
      </c>
      <c r="V869" t="s">
        <v>37</v>
      </c>
      <c r="W869" t="s">
        <v>38</v>
      </c>
      <c r="X869">
        <v>2024</v>
      </c>
      <c r="Y869" t="s">
        <v>142</v>
      </c>
      <c r="Z869" t="s">
        <v>40</v>
      </c>
      <c r="AA869" t="s">
        <v>41</v>
      </c>
    </row>
    <row r="870" spans="1:27" x14ac:dyDescent="0.3">
      <c r="A870" t="s">
        <v>989</v>
      </c>
      <c r="B870" t="s">
        <v>28</v>
      </c>
      <c r="C870">
        <v>36</v>
      </c>
      <c r="D870" t="s">
        <v>65</v>
      </c>
      <c r="E870" t="s">
        <v>147</v>
      </c>
      <c r="F870" t="s">
        <v>96</v>
      </c>
      <c r="G870">
        <v>154978</v>
      </c>
      <c r="H870" s="1">
        <v>45814</v>
      </c>
      <c r="I870" t="s">
        <v>98</v>
      </c>
      <c r="J870" t="s">
        <v>67</v>
      </c>
      <c r="K870" t="s">
        <v>49</v>
      </c>
      <c r="L870">
        <v>16</v>
      </c>
      <c r="M870">
        <v>3</v>
      </c>
      <c r="N870">
        <v>4</v>
      </c>
      <c r="O870" t="s">
        <v>50</v>
      </c>
      <c r="P870" t="s">
        <v>37</v>
      </c>
      <c r="Q870">
        <v>174</v>
      </c>
      <c r="R870">
        <v>80</v>
      </c>
      <c r="S870">
        <v>3</v>
      </c>
      <c r="T870" t="s">
        <v>36</v>
      </c>
      <c r="U870" t="s">
        <v>36</v>
      </c>
      <c r="V870" t="s">
        <v>36</v>
      </c>
      <c r="W870" t="s">
        <v>60</v>
      </c>
      <c r="X870">
        <v>2025</v>
      </c>
      <c r="Y870" t="s">
        <v>61</v>
      </c>
      <c r="Z870" t="s">
        <v>62</v>
      </c>
      <c r="AA870" t="s">
        <v>105</v>
      </c>
    </row>
    <row r="871" spans="1:27" x14ac:dyDescent="0.3">
      <c r="A871" t="s">
        <v>990</v>
      </c>
      <c r="B871" t="s">
        <v>43</v>
      </c>
      <c r="C871">
        <v>46</v>
      </c>
      <c r="D871" t="s">
        <v>29</v>
      </c>
      <c r="E871" t="s">
        <v>93</v>
      </c>
      <c r="F871" t="s">
        <v>96</v>
      </c>
      <c r="G871">
        <v>128537</v>
      </c>
      <c r="H871" s="1">
        <v>43642</v>
      </c>
      <c r="I871" t="s">
        <v>32</v>
      </c>
      <c r="J871" t="s">
        <v>67</v>
      </c>
      <c r="K871" t="s">
        <v>58</v>
      </c>
      <c r="L871">
        <v>16</v>
      </c>
      <c r="M871">
        <v>1</v>
      </c>
      <c r="N871">
        <v>4</v>
      </c>
      <c r="O871" t="s">
        <v>59</v>
      </c>
      <c r="P871" t="s">
        <v>36</v>
      </c>
      <c r="Q871">
        <v>186</v>
      </c>
      <c r="R871">
        <v>65</v>
      </c>
      <c r="S871">
        <v>19</v>
      </c>
      <c r="T871" t="s">
        <v>37</v>
      </c>
      <c r="U871" t="s">
        <v>37</v>
      </c>
      <c r="V871" t="s">
        <v>36</v>
      </c>
      <c r="W871" t="s">
        <v>60</v>
      </c>
      <c r="X871">
        <v>2019</v>
      </c>
      <c r="Y871" t="s">
        <v>61</v>
      </c>
      <c r="Z871" t="s">
        <v>70</v>
      </c>
      <c r="AA871" t="s">
        <v>87</v>
      </c>
    </row>
    <row r="872" spans="1:27" x14ac:dyDescent="0.3">
      <c r="A872" t="s">
        <v>991</v>
      </c>
      <c r="B872" t="s">
        <v>43</v>
      </c>
      <c r="C872">
        <v>30</v>
      </c>
      <c r="D872" t="s">
        <v>89</v>
      </c>
      <c r="E872" t="s">
        <v>90</v>
      </c>
      <c r="F872" t="s">
        <v>31</v>
      </c>
      <c r="G872">
        <v>44463</v>
      </c>
      <c r="H872" s="1">
        <v>44127</v>
      </c>
      <c r="I872" t="s">
        <v>32</v>
      </c>
      <c r="J872" t="s">
        <v>67</v>
      </c>
      <c r="K872" t="s">
        <v>34</v>
      </c>
      <c r="L872">
        <v>2</v>
      </c>
      <c r="M872">
        <v>1</v>
      </c>
      <c r="N872">
        <v>4</v>
      </c>
      <c r="O872" t="s">
        <v>59</v>
      </c>
      <c r="P872" t="s">
        <v>36</v>
      </c>
      <c r="Q872">
        <v>218</v>
      </c>
      <c r="R872">
        <v>26</v>
      </c>
      <c r="S872">
        <v>20</v>
      </c>
      <c r="T872" t="s">
        <v>36</v>
      </c>
      <c r="U872" t="s">
        <v>36</v>
      </c>
      <c r="V872" t="s">
        <v>37</v>
      </c>
      <c r="W872" t="s">
        <v>38</v>
      </c>
      <c r="X872">
        <v>2020</v>
      </c>
      <c r="Y872" t="s">
        <v>83</v>
      </c>
      <c r="Z872" t="s">
        <v>75</v>
      </c>
      <c r="AA872" t="s">
        <v>41</v>
      </c>
    </row>
    <row r="873" spans="1:27" x14ac:dyDescent="0.3">
      <c r="A873" t="s">
        <v>992</v>
      </c>
      <c r="B873" t="s">
        <v>43</v>
      </c>
      <c r="C873">
        <v>26</v>
      </c>
      <c r="D873" t="s">
        <v>89</v>
      </c>
      <c r="E873" t="s">
        <v>130</v>
      </c>
      <c r="F873" t="s">
        <v>31</v>
      </c>
      <c r="G873">
        <v>66834</v>
      </c>
      <c r="H873" s="1">
        <v>44414</v>
      </c>
      <c r="I873" t="s">
        <v>107</v>
      </c>
      <c r="J873" t="s">
        <v>118</v>
      </c>
      <c r="K873" t="s">
        <v>58</v>
      </c>
      <c r="L873">
        <v>5</v>
      </c>
      <c r="M873">
        <v>5</v>
      </c>
      <c r="N873">
        <v>2</v>
      </c>
      <c r="O873" t="s">
        <v>50</v>
      </c>
      <c r="P873" t="s">
        <v>37</v>
      </c>
      <c r="Q873">
        <v>258</v>
      </c>
      <c r="R873">
        <v>34</v>
      </c>
      <c r="S873">
        <v>20</v>
      </c>
      <c r="T873" t="s">
        <v>36</v>
      </c>
      <c r="U873" t="s">
        <v>36</v>
      </c>
      <c r="V873" t="s">
        <v>36</v>
      </c>
      <c r="W873" t="s">
        <v>60</v>
      </c>
      <c r="X873">
        <v>2021</v>
      </c>
      <c r="Y873" t="s">
        <v>128</v>
      </c>
      <c r="Z873" t="s">
        <v>75</v>
      </c>
      <c r="AA873" t="s">
        <v>52</v>
      </c>
    </row>
    <row r="874" spans="1:27" x14ac:dyDescent="0.3">
      <c r="A874" t="s">
        <v>993</v>
      </c>
      <c r="B874" t="s">
        <v>43</v>
      </c>
      <c r="C874">
        <v>22</v>
      </c>
      <c r="D874" t="s">
        <v>77</v>
      </c>
      <c r="E874" t="s">
        <v>133</v>
      </c>
      <c r="F874" t="s">
        <v>56</v>
      </c>
      <c r="G874">
        <v>42862</v>
      </c>
      <c r="H874" s="1">
        <v>43716</v>
      </c>
      <c r="I874" t="s">
        <v>57</v>
      </c>
      <c r="J874" t="s">
        <v>91</v>
      </c>
      <c r="K874" t="s">
        <v>58</v>
      </c>
      <c r="L874">
        <v>3</v>
      </c>
      <c r="M874">
        <v>4</v>
      </c>
      <c r="N874">
        <v>4</v>
      </c>
      <c r="O874" t="s">
        <v>59</v>
      </c>
      <c r="P874" t="s">
        <v>37</v>
      </c>
      <c r="Q874">
        <v>201</v>
      </c>
      <c r="R874">
        <v>74</v>
      </c>
      <c r="S874">
        <v>6</v>
      </c>
      <c r="T874" t="s">
        <v>37</v>
      </c>
      <c r="U874" t="s">
        <v>36</v>
      </c>
      <c r="V874" t="s">
        <v>36</v>
      </c>
      <c r="W874" t="s">
        <v>60</v>
      </c>
      <c r="X874">
        <v>2019</v>
      </c>
      <c r="Y874" t="s">
        <v>51</v>
      </c>
      <c r="Z874" t="s">
        <v>104</v>
      </c>
      <c r="AA874" t="s">
        <v>41</v>
      </c>
    </row>
    <row r="875" spans="1:27" x14ac:dyDescent="0.3">
      <c r="A875" t="s">
        <v>994</v>
      </c>
      <c r="B875" t="s">
        <v>28</v>
      </c>
      <c r="C875">
        <v>26</v>
      </c>
      <c r="D875" t="s">
        <v>44</v>
      </c>
      <c r="E875" t="s">
        <v>109</v>
      </c>
      <c r="F875" t="s">
        <v>46</v>
      </c>
      <c r="G875">
        <v>109163</v>
      </c>
      <c r="H875" s="1">
        <v>43819</v>
      </c>
      <c r="I875" t="s">
        <v>47</v>
      </c>
      <c r="J875" t="s">
        <v>48</v>
      </c>
      <c r="K875" t="s">
        <v>34</v>
      </c>
      <c r="L875">
        <v>7</v>
      </c>
      <c r="M875">
        <v>4</v>
      </c>
      <c r="N875">
        <v>3</v>
      </c>
      <c r="O875" t="s">
        <v>50</v>
      </c>
      <c r="P875" t="s">
        <v>37</v>
      </c>
      <c r="Q875">
        <v>249</v>
      </c>
      <c r="R875">
        <v>56</v>
      </c>
      <c r="S875">
        <v>20</v>
      </c>
      <c r="T875" t="s">
        <v>37</v>
      </c>
      <c r="U875" t="s">
        <v>36</v>
      </c>
      <c r="V875" t="s">
        <v>36</v>
      </c>
      <c r="W875" t="s">
        <v>60</v>
      </c>
      <c r="X875">
        <v>2019</v>
      </c>
      <c r="Y875" t="s">
        <v>116</v>
      </c>
      <c r="Z875" t="s">
        <v>75</v>
      </c>
      <c r="AA875" t="s">
        <v>87</v>
      </c>
    </row>
    <row r="876" spans="1:27" x14ac:dyDescent="0.3">
      <c r="A876" t="s">
        <v>995</v>
      </c>
      <c r="B876" t="s">
        <v>28</v>
      </c>
      <c r="C876">
        <v>31</v>
      </c>
      <c r="D876" t="s">
        <v>54</v>
      </c>
      <c r="E876" t="s">
        <v>111</v>
      </c>
      <c r="F876" t="s">
        <v>46</v>
      </c>
      <c r="G876">
        <v>102215</v>
      </c>
      <c r="H876" s="1">
        <v>45336</v>
      </c>
      <c r="I876" t="s">
        <v>98</v>
      </c>
      <c r="J876" t="s">
        <v>67</v>
      </c>
      <c r="K876" t="s">
        <v>34</v>
      </c>
      <c r="L876">
        <v>11</v>
      </c>
      <c r="M876">
        <v>5</v>
      </c>
      <c r="N876">
        <v>1</v>
      </c>
      <c r="O876" t="s">
        <v>35</v>
      </c>
      <c r="P876" t="s">
        <v>36</v>
      </c>
      <c r="Q876">
        <v>225</v>
      </c>
      <c r="R876">
        <v>25</v>
      </c>
      <c r="S876">
        <v>6</v>
      </c>
      <c r="T876" t="s">
        <v>37</v>
      </c>
      <c r="U876" t="s">
        <v>36</v>
      </c>
      <c r="V876" t="s">
        <v>36</v>
      </c>
      <c r="W876" t="s">
        <v>60</v>
      </c>
      <c r="X876">
        <v>2024</v>
      </c>
      <c r="Y876" t="s">
        <v>39</v>
      </c>
      <c r="Z876" t="s">
        <v>40</v>
      </c>
      <c r="AA876" t="s">
        <v>87</v>
      </c>
    </row>
    <row r="877" spans="1:27" x14ac:dyDescent="0.3">
      <c r="A877" t="s">
        <v>996</v>
      </c>
      <c r="B877" t="s">
        <v>28</v>
      </c>
      <c r="C877">
        <v>44</v>
      </c>
      <c r="D877" t="s">
        <v>44</v>
      </c>
      <c r="E877" t="s">
        <v>45</v>
      </c>
      <c r="F877" t="s">
        <v>46</v>
      </c>
      <c r="G877">
        <v>98250</v>
      </c>
      <c r="H877" s="1">
        <v>46121</v>
      </c>
      <c r="I877" t="s">
        <v>107</v>
      </c>
      <c r="J877" t="s">
        <v>91</v>
      </c>
      <c r="K877" t="s">
        <v>49</v>
      </c>
      <c r="L877">
        <v>9</v>
      </c>
      <c r="M877">
        <v>2</v>
      </c>
      <c r="N877">
        <v>3</v>
      </c>
      <c r="O877" t="s">
        <v>59</v>
      </c>
      <c r="P877" t="s">
        <v>36</v>
      </c>
      <c r="Q877">
        <v>193</v>
      </c>
      <c r="R877">
        <v>9</v>
      </c>
      <c r="S877">
        <v>24</v>
      </c>
      <c r="T877" t="s">
        <v>36</v>
      </c>
      <c r="U877" t="s">
        <v>37</v>
      </c>
      <c r="V877" t="s">
        <v>36</v>
      </c>
      <c r="W877" t="s">
        <v>126</v>
      </c>
      <c r="X877">
        <v>2026</v>
      </c>
      <c r="Y877" t="s">
        <v>69</v>
      </c>
      <c r="Z877" t="s">
        <v>70</v>
      </c>
      <c r="AA877" t="s">
        <v>87</v>
      </c>
    </row>
    <row r="878" spans="1:27" x14ac:dyDescent="0.3">
      <c r="A878" t="s">
        <v>997</v>
      </c>
      <c r="B878" t="s">
        <v>28</v>
      </c>
      <c r="C878">
        <v>28</v>
      </c>
      <c r="D878" t="s">
        <v>65</v>
      </c>
      <c r="E878" t="s">
        <v>147</v>
      </c>
      <c r="F878" t="s">
        <v>31</v>
      </c>
      <c r="G878">
        <v>59824</v>
      </c>
      <c r="H878" s="1">
        <v>45299</v>
      </c>
      <c r="I878" t="s">
        <v>98</v>
      </c>
      <c r="J878" t="s">
        <v>101</v>
      </c>
      <c r="K878" t="s">
        <v>49</v>
      </c>
      <c r="L878">
        <v>5</v>
      </c>
      <c r="M878">
        <v>4</v>
      </c>
      <c r="N878">
        <v>4</v>
      </c>
      <c r="O878" t="s">
        <v>59</v>
      </c>
      <c r="P878" t="s">
        <v>37</v>
      </c>
      <c r="Q878">
        <v>219</v>
      </c>
      <c r="R878">
        <v>14</v>
      </c>
      <c r="S878">
        <v>21</v>
      </c>
      <c r="T878" t="s">
        <v>37</v>
      </c>
      <c r="U878" t="s">
        <v>36</v>
      </c>
      <c r="V878" t="s">
        <v>37</v>
      </c>
      <c r="W878" t="s">
        <v>38</v>
      </c>
      <c r="X878">
        <v>2024</v>
      </c>
      <c r="Y878" t="s">
        <v>94</v>
      </c>
      <c r="Z878" t="s">
        <v>75</v>
      </c>
      <c r="AA878" t="s">
        <v>41</v>
      </c>
    </row>
    <row r="879" spans="1:27" x14ac:dyDescent="0.3">
      <c r="A879" t="s">
        <v>998</v>
      </c>
      <c r="B879" t="s">
        <v>43</v>
      </c>
      <c r="C879">
        <v>33</v>
      </c>
      <c r="D879" t="s">
        <v>89</v>
      </c>
      <c r="E879" t="s">
        <v>130</v>
      </c>
      <c r="F879" t="s">
        <v>96</v>
      </c>
      <c r="G879">
        <v>109649</v>
      </c>
      <c r="H879" s="1">
        <v>45819</v>
      </c>
      <c r="I879" t="s">
        <v>32</v>
      </c>
      <c r="J879" t="s">
        <v>91</v>
      </c>
      <c r="K879" t="s">
        <v>34</v>
      </c>
      <c r="L879">
        <v>17</v>
      </c>
      <c r="M879">
        <v>4</v>
      </c>
      <c r="N879">
        <v>5</v>
      </c>
      <c r="O879" t="s">
        <v>68</v>
      </c>
      <c r="P879" t="s">
        <v>36</v>
      </c>
      <c r="Q879">
        <v>241</v>
      </c>
      <c r="R879">
        <v>68</v>
      </c>
      <c r="S879">
        <v>25</v>
      </c>
      <c r="T879" t="s">
        <v>37</v>
      </c>
      <c r="U879" t="s">
        <v>36</v>
      </c>
      <c r="V879" t="s">
        <v>36</v>
      </c>
      <c r="W879" t="s">
        <v>60</v>
      </c>
      <c r="X879">
        <v>2025</v>
      </c>
      <c r="Y879" t="s">
        <v>61</v>
      </c>
      <c r="Z879" t="s">
        <v>40</v>
      </c>
      <c r="AA879" t="s">
        <v>87</v>
      </c>
    </row>
    <row r="880" spans="1:27" x14ac:dyDescent="0.3">
      <c r="A880" t="s">
        <v>999</v>
      </c>
      <c r="B880" t="s">
        <v>28</v>
      </c>
      <c r="C880">
        <v>31</v>
      </c>
      <c r="D880" t="s">
        <v>77</v>
      </c>
      <c r="E880" t="s">
        <v>138</v>
      </c>
      <c r="F880" t="s">
        <v>31</v>
      </c>
      <c r="G880">
        <v>54080</v>
      </c>
      <c r="H880" s="1">
        <v>44569</v>
      </c>
      <c r="I880" t="s">
        <v>98</v>
      </c>
      <c r="J880" t="s">
        <v>99</v>
      </c>
      <c r="K880" t="s">
        <v>58</v>
      </c>
      <c r="L880">
        <v>2</v>
      </c>
      <c r="M880">
        <v>1</v>
      </c>
      <c r="N880">
        <v>3</v>
      </c>
      <c r="O880" t="s">
        <v>35</v>
      </c>
      <c r="P880" t="s">
        <v>36</v>
      </c>
      <c r="Q880">
        <v>198</v>
      </c>
      <c r="R880">
        <v>26</v>
      </c>
      <c r="S880">
        <v>10</v>
      </c>
      <c r="T880" t="s">
        <v>36</v>
      </c>
      <c r="U880" t="s">
        <v>36</v>
      </c>
      <c r="V880" t="s">
        <v>36</v>
      </c>
      <c r="W880" t="s">
        <v>60</v>
      </c>
      <c r="X880">
        <v>2022</v>
      </c>
      <c r="Y880" t="s">
        <v>94</v>
      </c>
      <c r="Z880" t="s">
        <v>40</v>
      </c>
      <c r="AA880" t="s">
        <v>41</v>
      </c>
    </row>
    <row r="881" spans="1:27" x14ac:dyDescent="0.3">
      <c r="A881" t="s">
        <v>1000</v>
      </c>
      <c r="B881" t="s">
        <v>43</v>
      </c>
      <c r="C881">
        <v>40</v>
      </c>
      <c r="D881" t="s">
        <v>65</v>
      </c>
      <c r="E881" t="s">
        <v>66</v>
      </c>
      <c r="F881" t="s">
        <v>46</v>
      </c>
      <c r="G881">
        <v>76963</v>
      </c>
      <c r="H881" s="1">
        <v>45076</v>
      </c>
      <c r="I881" t="s">
        <v>98</v>
      </c>
      <c r="J881" t="s">
        <v>67</v>
      </c>
      <c r="K881" t="s">
        <v>58</v>
      </c>
      <c r="L881">
        <v>13</v>
      </c>
      <c r="M881">
        <v>4</v>
      </c>
      <c r="N881">
        <v>5</v>
      </c>
      <c r="O881" t="s">
        <v>68</v>
      </c>
      <c r="P881" t="s">
        <v>36</v>
      </c>
      <c r="Q881">
        <v>175</v>
      </c>
      <c r="R881">
        <v>22</v>
      </c>
      <c r="S881">
        <v>23</v>
      </c>
      <c r="T881" t="s">
        <v>36</v>
      </c>
      <c r="U881" t="s">
        <v>36</v>
      </c>
      <c r="V881" t="s">
        <v>36</v>
      </c>
      <c r="W881" t="s">
        <v>60</v>
      </c>
      <c r="X881">
        <v>2023</v>
      </c>
      <c r="Y881" t="s">
        <v>74</v>
      </c>
      <c r="Z881" t="s">
        <v>62</v>
      </c>
      <c r="AA881" t="s">
        <v>52</v>
      </c>
    </row>
    <row r="882" spans="1:27" x14ac:dyDescent="0.3">
      <c r="A882" t="s">
        <v>1001</v>
      </c>
      <c r="B882" t="s">
        <v>43</v>
      </c>
      <c r="C882">
        <v>49</v>
      </c>
      <c r="D882" t="s">
        <v>44</v>
      </c>
      <c r="E882" t="s">
        <v>115</v>
      </c>
      <c r="F882" t="s">
        <v>56</v>
      </c>
      <c r="G882">
        <v>39147</v>
      </c>
      <c r="H882" s="1">
        <v>44139</v>
      </c>
      <c r="I882" t="s">
        <v>107</v>
      </c>
      <c r="J882" t="s">
        <v>101</v>
      </c>
      <c r="K882" t="s">
        <v>58</v>
      </c>
      <c r="L882">
        <v>3</v>
      </c>
      <c r="M882">
        <v>3</v>
      </c>
      <c r="N882">
        <v>1</v>
      </c>
      <c r="O882" t="s">
        <v>50</v>
      </c>
      <c r="P882" t="s">
        <v>36</v>
      </c>
      <c r="Q882">
        <v>237</v>
      </c>
      <c r="R882">
        <v>54</v>
      </c>
      <c r="S882">
        <v>7</v>
      </c>
      <c r="T882" t="s">
        <v>36</v>
      </c>
      <c r="U882" t="s">
        <v>36</v>
      </c>
      <c r="V882" t="s">
        <v>36</v>
      </c>
      <c r="W882" t="s">
        <v>60</v>
      </c>
      <c r="X882">
        <v>2020</v>
      </c>
      <c r="Y882" t="s">
        <v>123</v>
      </c>
      <c r="Z882" t="s">
        <v>70</v>
      </c>
      <c r="AA882" t="s">
        <v>63</v>
      </c>
    </row>
    <row r="883" spans="1:27" x14ac:dyDescent="0.3">
      <c r="A883" t="s">
        <v>1002</v>
      </c>
      <c r="B883" t="s">
        <v>43</v>
      </c>
      <c r="C883">
        <v>28</v>
      </c>
      <c r="D883" t="s">
        <v>44</v>
      </c>
      <c r="E883" t="s">
        <v>115</v>
      </c>
      <c r="F883" t="s">
        <v>46</v>
      </c>
      <c r="G883">
        <v>99717</v>
      </c>
      <c r="H883" s="1">
        <v>44981</v>
      </c>
      <c r="I883" t="s">
        <v>57</v>
      </c>
      <c r="J883" t="s">
        <v>101</v>
      </c>
      <c r="K883" t="s">
        <v>34</v>
      </c>
      <c r="L883">
        <v>14</v>
      </c>
      <c r="M883">
        <v>1</v>
      </c>
      <c r="N883">
        <v>2</v>
      </c>
      <c r="O883" t="s">
        <v>50</v>
      </c>
      <c r="P883" t="s">
        <v>36</v>
      </c>
      <c r="Q883">
        <v>163</v>
      </c>
      <c r="R883">
        <v>54</v>
      </c>
      <c r="S883">
        <v>29</v>
      </c>
      <c r="T883" t="s">
        <v>36</v>
      </c>
      <c r="U883" t="s">
        <v>36</v>
      </c>
      <c r="V883" t="s">
        <v>36</v>
      </c>
      <c r="W883" t="s">
        <v>60</v>
      </c>
      <c r="X883">
        <v>2023</v>
      </c>
      <c r="Y883" t="s">
        <v>39</v>
      </c>
      <c r="Z883" t="s">
        <v>75</v>
      </c>
      <c r="AA883" t="s">
        <v>87</v>
      </c>
    </row>
    <row r="884" spans="1:27" x14ac:dyDescent="0.3">
      <c r="A884" t="s">
        <v>1003</v>
      </c>
      <c r="B884" t="s">
        <v>28</v>
      </c>
      <c r="C884">
        <v>28</v>
      </c>
      <c r="D884" t="s">
        <v>65</v>
      </c>
      <c r="E884" t="s">
        <v>72</v>
      </c>
      <c r="F884" t="s">
        <v>46</v>
      </c>
      <c r="G884">
        <v>82151</v>
      </c>
      <c r="H884" s="1">
        <v>43497</v>
      </c>
      <c r="I884" t="s">
        <v>98</v>
      </c>
      <c r="J884" t="s">
        <v>48</v>
      </c>
      <c r="K884" t="s">
        <v>58</v>
      </c>
      <c r="L884">
        <v>8</v>
      </c>
      <c r="M884">
        <v>2</v>
      </c>
      <c r="N884">
        <v>3</v>
      </c>
      <c r="O884" t="s">
        <v>59</v>
      </c>
      <c r="P884" t="s">
        <v>36</v>
      </c>
      <c r="Q884">
        <v>229</v>
      </c>
      <c r="R884">
        <v>66</v>
      </c>
      <c r="S884">
        <v>7</v>
      </c>
      <c r="T884" t="s">
        <v>37</v>
      </c>
      <c r="U884" t="s">
        <v>37</v>
      </c>
      <c r="V884" t="s">
        <v>36</v>
      </c>
      <c r="W884" t="s">
        <v>60</v>
      </c>
      <c r="X884">
        <v>2019</v>
      </c>
      <c r="Y884" t="s">
        <v>39</v>
      </c>
      <c r="Z884" t="s">
        <v>75</v>
      </c>
      <c r="AA884" t="s">
        <v>52</v>
      </c>
    </row>
    <row r="885" spans="1:27" x14ac:dyDescent="0.3">
      <c r="A885" t="s">
        <v>1004</v>
      </c>
      <c r="B885" t="s">
        <v>43</v>
      </c>
      <c r="C885">
        <v>39</v>
      </c>
      <c r="D885" t="s">
        <v>44</v>
      </c>
      <c r="E885" t="s">
        <v>109</v>
      </c>
      <c r="F885" t="s">
        <v>56</v>
      </c>
      <c r="G885">
        <v>30818</v>
      </c>
      <c r="H885" s="1">
        <v>44326</v>
      </c>
      <c r="I885" t="s">
        <v>107</v>
      </c>
      <c r="J885" t="s">
        <v>91</v>
      </c>
      <c r="K885" t="s">
        <v>58</v>
      </c>
      <c r="L885">
        <v>2</v>
      </c>
      <c r="M885">
        <v>4</v>
      </c>
      <c r="N885">
        <v>3</v>
      </c>
      <c r="O885" t="s">
        <v>35</v>
      </c>
      <c r="P885" t="s">
        <v>37</v>
      </c>
      <c r="Q885">
        <v>191</v>
      </c>
      <c r="R885">
        <v>32</v>
      </c>
      <c r="S885">
        <v>25</v>
      </c>
      <c r="T885" t="s">
        <v>37</v>
      </c>
      <c r="U885" t="s">
        <v>36</v>
      </c>
      <c r="V885" t="s">
        <v>36</v>
      </c>
      <c r="W885" t="s">
        <v>60</v>
      </c>
      <c r="X885">
        <v>2021</v>
      </c>
      <c r="Y885" t="s">
        <v>74</v>
      </c>
      <c r="Z885" t="s">
        <v>62</v>
      </c>
      <c r="AA885" t="s">
        <v>63</v>
      </c>
    </row>
    <row r="886" spans="1:27" x14ac:dyDescent="0.3">
      <c r="A886" t="s">
        <v>1005</v>
      </c>
      <c r="B886" t="s">
        <v>28</v>
      </c>
      <c r="C886">
        <v>36</v>
      </c>
      <c r="D886" t="s">
        <v>77</v>
      </c>
      <c r="E886" t="s">
        <v>133</v>
      </c>
      <c r="F886" t="s">
        <v>56</v>
      </c>
      <c r="G886">
        <v>35803</v>
      </c>
      <c r="H886" s="1">
        <v>45298</v>
      </c>
      <c r="I886" t="s">
        <v>32</v>
      </c>
      <c r="J886" t="s">
        <v>48</v>
      </c>
      <c r="K886" t="s">
        <v>49</v>
      </c>
      <c r="L886">
        <v>3</v>
      </c>
      <c r="M886">
        <v>3</v>
      </c>
      <c r="N886">
        <v>1</v>
      </c>
      <c r="O886" t="s">
        <v>35</v>
      </c>
      <c r="P886" t="s">
        <v>37</v>
      </c>
      <c r="Q886">
        <v>229</v>
      </c>
      <c r="R886">
        <v>9</v>
      </c>
      <c r="S886">
        <v>26</v>
      </c>
      <c r="T886" t="s">
        <v>36</v>
      </c>
      <c r="U886" t="s">
        <v>36</v>
      </c>
      <c r="V886" t="s">
        <v>36</v>
      </c>
      <c r="W886" t="s">
        <v>60</v>
      </c>
      <c r="X886">
        <v>2024</v>
      </c>
      <c r="Y886" t="s">
        <v>94</v>
      </c>
      <c r="Z886" t="s">
        <v>62</v>
      </c>
      <c r="AA886" t="s">
        <v>63</v>
      </c>
    </row>
    <row r="887" spans="1:27" x14ac:dyDescent="0.3">
      <c r="A887" t="s">
        <v>1006</v>
      </c>
      <c r="B887" t="s">
        <v>43</v>
      </c>
      <c r="C887">
        <v>44</v>
      </c>
      <c r="D887" t="s">
        <v>77</v>
      </c>
      <c r="E887" t="s">
        <v>182</v>
      </c>
      <c r="F887" t="s">
        <v>96</v>
      </c>
      <c r="G887">
        <v>97882</v>
      </c>
      <c r="H887" s="1">
        <v>44005</v>
      </c>
      <c r="I887" t="s">
        <v>98</v>
      </c>
      <c r="J887" t="s">
        <v>91</v>
      </c>
      <c r="K887" t="s">
        <v>49</v>
      </c>
      <c r="L887">
        <v>17</v>
      </c>
      <c r="M887">
        <v>4</v>
      </c>
      <c r="N887">
        <v>1</v>
      </c>
      <c r="O887" t="s">
        <v>68</v>
      </c>
      <c r="P887" t="s">
        <v>36</v>
      </c>
      <c r="Q887">
        <v>196</v>
      </c>
      <c r="R887">
        <v>22</v>
      </c>
      <c r="S887">
        <v>12</v>
      </c>
      <c r="T887" t="s">
        <v>36</v>
      </c>
      <c r="U887" t="s">
        <v>36</v>
      </c>
      <c r="V887" t="s">
        <v>36</v>
      </c>
      <c r="W887" t="s">
        <v>126</v>
      </c>
      <c r="X887">
        <v>2020</v>
      </c>
      <c r="Y887" t="s">
        <v>61</v>
      </c>
      <c r="Z887" t="s">
        <v>70</v>
      </c>
      <c r="AA887" t="s">
        <v>87</v>
      </c>
    </row>
    <row r="888" spans="1:27" x14ac:dyDescent="0.3">
      <c r="A888" t="s">
        <v>1007</v>
      </c>
      <c r="B888" t="s">
        <v>43</v>
      </c>
      <c r="C888">
        <v>36</v>
      </c>
      <c r="D888" t="s">
        <v>29</v>
      </c>
      <c r="E888" t="s">
        <v>30</v>
      </c>
      <c r="F888" t="s">
        <v>96</v>
      </c>
      <c r="G888">
        <v>148953</v>
      </c>
      <c r="H888" s="1">
        <v>45277</v>
      </c>
      <c r="I888" t="s">
        <v>98</v>
      </c>
      <c r="J888" t="s">
        <v>91</v>
      </c>
      <c r="K888" t="s">
        <v>34</v>
      </c>
      <c r="L888">
        <v>16</v>
      </c>
      <c r="M888">
        <v>3</v>
      </c>
      <c r="N888">
        <v>3</v>
      </c>
      <c r="O888" t="s">
        <v>50</v>
      </c>
      <c r="P888" t="s">
        <v>37</v>
      </c>
      <c r="Q888">
        <v>167</v>
      </c>
      <c r="R888">
        <v>74</v>
      </c>
      <c r="S888">
        <v>22</v>
      </c>
      <c r="T888" t="s">
        <v>36</v>
      </c>
      <c r="U888" t="s">
        <v>36</v>
      </c>
      <c r="V888" t="s">
        <v>36</v>
      </c>
      <c r="W888" t="s">
        <v>126</v>
      </c>
      <c r="X888">
        <v>2023</v>
      </c>
      <c r="Y888" t="s">
        <v>116</v>
      </c>
      <c r="Z888" t="s">
        <v>62</v>
      </c>
      <c r="AA888" t="s">
        <v>105</v>
      </c>
    </row>
    <row r="889" spans="1:27" x14ac:dyDescent="0.3">
      <c r="A889" t="s">
        <v>1008</v>
      </c>
      <c r="B889" t="s">
        <v>43</v>
      </c>
      <c r="C889">
        <v>29</v>
      </c>
      <c r="D889" t="s">
        <v>65</v>
      </c>
      <c r="E889" t="s">
        <v>66</v>
      </c>
      <c r="F889" t="s">
        <v>31</v>
      </c>
      <c r="G889">
        <v>58450</v>
      </c>
      <c r="H889" s="1">
        <v>44713</v>
      </c>
      <c r="I889" t="s">
        <v>57</v>
      </c>
      <c r="J889" t="s">
        <v>73</v>
      </c>
      <c r="K889" t="s">
        <v>58</v>
      </c>
      <c r="L889">
        <v>3</v>
      </c>
      <c r="M889">
        <v>5</v>
      </c>
      <c r="N889">
        <v>1</v>
      </c>
      <c r="O889" t="s">
        <v>35</v>
      </c>
      <c r="P889" t="s">
        <v>37</v>
      </c>
      <c r="Q889">
        <v>253</v>
      </c>
      <c r="R889">
        <v>10</v>
      </c>
      <c r="S889">
        <v>6</v>
      </c>
      <c r="T889" t="s">
        <v>36</v>
      </c>
      <c r="U889" t="s">
        <v>36</v>
      </c>
      <c r="V889" t="s">
        <v>36</v>
      </c>
      <c r="W889" t="s">
        <v>60</v>
      </c>
      <c r="X889">
        <v>2022</v>
      </c>
      <c r="Y889" t="s">
        <v>61</v>
      </c>
      <c r="Z889" t="s">
        <v>75</v>
      </c>
      <c r="AA889" t="s">
        <v>41</v>
      </c>
    </row>
    <row r="890" spans="1:27" x14ac:dyDescent="0.3">
      <c r="A890" t="s">
        <v>1009</v>
      </c>
      <c r="B890" t="s">
        <v>28</v>
      </c>
      <c r="C890">
        <v>36</v>
      </c>
      <c r="D890" t="s">
        <v>44</v>
      </c>
      <c r="E890" t="s">
        <v>219</v>
      </c>
      <c r="F890" t="s">
        <v>31</v>
      </c>
      <c r="G890">
        <v>46296</v>
      </c>
      <c r="H890" s="1">
        <v>43940</v>
      </c>
      <c r="I890" t="s">
        <v>47</v>
      </c>
      <c r="J890" t="s">
        <v>99</v>
      </c>
      <c r="K890" t="s">
        <v>34</v>
      </c>
      <c r="L890">
        <v>7</v>
      </c>
      <c r="M890">
        <v>3</v>
      </c>
      <c r="N890">
        <v>3</v>
      </c>
      <c r="O890" t="s">
        <v>68</v>
      </c>
      <c r="P890" t="s">
        <v>37</v>
      </c>
      <c r="Q890">
        <v>176</v>
      </c>
      <c r="R890">
        <v>59</v>
      </c>
      <c r="S890">
        <v>19</v>
      </c>
      <c r="T890" t="s">
        <v>36</v>
      </c>
      <c r="U890" t="s">
        <v>37</v>
      </c>
      <c r="V890" t="s">
        <v>36</v>
      </c>
      <c r="W890" t="s">
        <v>60</v>
      </c>
      <c r="X890">
        <v>2020</v>
      </c>
      <c r="Y890" t="s">
        <v>69</v>
      </c>
      <c r="Z890" t="s">
        <v>62</v>
      </c>
      <c r="AA890" t="s">
        <v>41</v>
      </c>
    </row>
    <row r="891" spans="1:27" x14ac:dyDescent="0.3">
      <c r="A891" t="s">
        <v>1010</v>
      </c>
      <c r="B891" t="s">
        <v>28</v>
      </c>
      <c r="C891">
        <v>39</v>
      </c>
      <c r="D891" t="s">
        <v>81</v>
      </c>
      <c r="E891" t="s">
        <v>82</v>
      </c>
      <c r="F891" t="s">
        <v>46</v>
      </c>
      <c r="G891">
        <v>99066</v>
      </c>
      <c r="H891" s="1">
        <v>45992</v>
      </c>
      <c r="I891" t="s">
        <v>32</v>
      </c>
      <c r="J891" t="s">
        <v>118</v>
      </c>
      <c r="K891" t="s">
        <v>49</v>
      </c>
      <c r="L891">
        <v>13</v>
      </c>
      <c r="M891">
        <v>4</v>
      </c>
      <c r="N891">
        <v>4</v>
      </c>
      <c r="O891" t="s">
        <v>59</v>
      </c>
      <c r="P891" t="s">
        <v>36</v>
      </c>
      <c r="Q891">
        <v>229</v>
      </c>
      <c r="R891">
        <v>42</v>
      </c>
      <c r="S891">
        <v>22</v>
      </c>
      <c r="T891" t="s">
        <v>36</v>
      </c>
      <c r="U891" t="s">
        <v>36</v>
      </c>
      <c r="V891" t="s">
        <v>36</v>
      </c>
      <c r="W891" t="s">
        <v>60</v>
      </c>
      <c r="X891">
        <v>2025</v>
      </c>
      <c r="Y891" t="s">
        <v>116</v>
      </c>
      <c r="Z891" t="s">
        <v>62</v>
      </c>
      <c r="AA891" t="s">
        <v>87</v>
      </c>
    </row>
    <row r="892" spans="1:27" x14ac:dyDescent="0.3">
      <c r="A892" t="s">
        <v>1011</v>
      </c>
      <c r="B892" t="s">
        <v>28</v>
      </c>
      <c r="C892">
        <v>37</v>
      </c>
      <c r="D892" t="s">
        <v>85</v>
      </c>
      <c r="E892" t="s">
        <v>151</v>
      </c>
      <c r="F892" t="s">
        <v>31</v>
      </c>
      <c r="G892">
        <v>54085</v>
      </c>
      <c r="H892" s="1">
        <v>44322</v>
      </c>
      <c r="I892" t="s">
        <v>57</v>
      </c>
      <c r="J892" t="s">
        <v>73</v>
      </c>
      <c r="K892" t="s">
        <v>58</v>
      </c>
      <c r="L892">
        <v>4</v>
      </c>
      <c r="M892">
        <v>1</v>
      </c>
      <c r="N892">
        <v>5</v>
      </c>
      <c r="O892" t="s">
        <v>35</v>
      </c>
      <c r="P892" t="s">
        <v>37</v>
      </c>
      <c r="Q892">
        <v>253</v>
      </c>
      <c r="R892">
        <v>21</v>
      </c>
      <c r="S892">
        <v>8</v>
      </c>
      <c r="T892" t="s">
        <v>36</v>
      </c>
      <c r="U892" t="s">
        <v>36</v>
      </c>
      <c r="V892" t="s">
        <v>36</v>
      </c>
      <c r="W892" t="s">
        <v>60</v>
      </c>
      <c r="X892">
        <v>2021</v>
      </c>
      <c r="Y892" t="s">
        <v>74</v>
      </c>
      <c r="Z892" t="s">
        <v>62</v>
      </c>
      <c r="AA892" t="s">
        <v>41</v>
      </c>
    </row>
    <row r="893" spans="1:27" x14ac:dyDescent="0.3">
      <c r="A893" t="s">
        <v>1012</v>
      </c>
      <c r="B893" t="s">
        <v>28</v>
      </c>
      <c r="C893">
        <v>35</v>
      </c>
      <c r="D893" t="s">
        <v>81</v>
      </c>
      <c r="E893" t="s">
        <v>201</v>
      </c>
      <c r="F893" t="s">
        <v>56</v>
      </c>
      <c r="G893">
        <v>40358</v>
      </c>
      <c r="H893" s="1">
        <v>43834</v>
      </c>
      <c r="I893" t="s">
        <v>98</v>
      </c>
      <c r="J893" t="s">
        <v>101</v>
      </c>
      <c r="K893" t="s">
        <v>49</v>
      </c>
      <c r="L893">
        <v>0</v>
      </c>
      <c r="M893">
        <v>5</v>
      </c>
      <c r="N893">
        <v>2</v>
      </c>
      <c r="O893" t="s">
        <v>35</v>
      </c>
      <c r="P893" t="s">
        <v>36</v>
      </c>
      <c r="Q893">
        <v>183</v>
      </c>
      <c r="R893">
        <v>73</v>
      </c>
      <c r="S893">
        <v>7</v>
      </c>
      <c r="T893" t="s">
        <v>36</v>
      </c>
      <c r="U893" t="s">
        <v>36</v>
      </c>
      <c r="V893" t="s">
        <v>36</v>
      </c>
      <c r="W893" t="s">
        <v>126</v>
      </c>
      <c r="X893">
        <v>2020</v>
      </c>
      <c r="Y893" t="s">
        <v>94</v>
      </c>
      <c r="Z893" t="s">
        <v>40</v>
      </c>
      <c r="AA893" t="s">
        <v>41</v>
      </c>
    </row>
    <row r="894" spans="1:27" x14ac:dyDescent="0.3">
      <c r="A894" t="s">
        <v>1013</v>
      </c>
      <c r="B894" t="s">
        <v>28</v>
      </c>
      <c r="C894">
        <v>39</v>
      </c>
      <c r="D894" t="s">
        <v>89</v>
      </c>
      <c r="E894" t="s">
        <v>90</v>
      </c>
      <c r="F894" t="s">
        <v>31</v>
      </c>
      <c r="G894">
        <v>53471</v>
      </c>
      <c r="H894" s="1">
        <v>45367</v>
      </c>
      <c r="I894" t="s">
        <v>47</v>
      </c>
      <c r="J894" t="s">
        <v>73</v>
      </c>
      <c r="K894" t="s">
        <v>34</v>
      </c>
      <c r="L894">
        <v>5</v>
      </c>
      <c r="M894">
        <v>3</v>
      </c>
      <c r="N894">
        <v>3</v>
      </c>
      <c r="O894" t="s">
        <v>35</v>
      </c>
      <c r="P894" t="s">
        <v>36</v>
      </c>
      <c r="Q894">
        <v>196</v>
      </c>
      <c r="R894">
        <v>46</v>
      </c>
      <c r="S894">
        <v>6</v>
      </c>
      <c r="T894" t="s">
        <v>36</v>
      </c>
      <c r="U894" t="s">
        <v>36</v>
      </c>
      <c r="V894" t="s">
        <v>36</v>
      </c>
      <c r="W894" t="s">
        <v>60</v>
      </c>
      <c r="X894">
        <v>2024</v>
      </c>
      <c r="Y894" t="s">
        <v>142</v>
      </c>
      <c r="Z894" t="s">
        <v>62</v>
      </c>
      <c r="AA894" t="s">
        <v>41</v>
      </c>
    </row>
    <row r="895" spans="1:27" x14ac:dyDescent="0.3">
      <c r="A895" t="s">
        <v>1014</v>
      </c>
      <c r="B895" t="s">
        <v>43</v>
      </c>
      <c r="C895">
        <v>40</v>
      </c>
      <c r="D895" t="s">
        <v>77</v>
      </c>
      <c r="E895" t="s">
        <v>138</v>
      </c>
      <c r="F895" t="s">
        <v>56</v>
      </c>
      <c r="G895">
        <v>40861</v>
      </c>
      <c r="H895" s="1">
        <v>45716</v>
      </c>
      <c r="I895" t="s">
        <v>47</v>
      </c>
      <c r="J895" t="s">
        <v>33</v>
      </c>
      <c r="K895" t="s">
        <v>58</v>
      </c>
      <c r="L895">
        <v>0</v>
      </c>
      <c r="M895">
        <v>2</v>
      </c>
      <c r="N895">
        <v>4</v>
      </c>
      <c r="O895" t="s">
        <v>59</v>
      </c>
      <c r="P895" t="s">
        <v>37</v>
      </c>
      <c r="Q895">
        <v>232</v>
      </c>
      <c r="R895">
        <v>32</v>
      </c>
      <c r="S895">
        <v>20</v>
      </c>
      <c r="T895" t="s">
        <v>36</v>
      </c>
      <c r="U895" t="s">
        <v>36</v>
      </c>
      <c r="V895" t="s">
        <v>37</v>
      </c>
      <c r="W895" t="s">
        <v>38</v>
      </c>
      <c r="X895">
        <v>2025</v>
      </c>
      <c r="Y895" t="s">
        <v>39</v>
      </c>
      <c r="Z895" t="s">
        <v>62</v>
      </c>
      <c r="AA895" t="s">
        <v>41</v>
      </c>
    </row>
    <row r="896" spans="1:27" x14ac:dyDescent="0.3">
      <c r="A896" t="s">
        <v>1015</v>
      </c>
      <c r="B896" t="s">
        <v>28</v>
      </c>
      <c r="C896">
        <v>41</v>
      </c>
      <c r="D896" t="s">
        <v>29</v>
      </c>
      <c r="E896" t="s">
        <v>30</v>
      </c>
      <c r="F896" t="s">
        <v>31</v>
      </c>
      <c r="G896">
        <v>47653</v>
      </c>
      <c r="H896" s="1">
        <v>45827</v>
      </c>
      <c r="I896" t="s">
        <v>57</v>
      </c>
      <c r="J896" t="s">
        <v>118</v>
      </c>
      <c r="K896" t="s">
        <v>49</v>
      </c>
      <c r="L896">
        <v>3</v>
      </c>
      <c r="M896">
        <v>5</v>
      </c>
      <c r="N896">
        <v>5</v>
      </c>
      <c r="O896" t="s">
        <v>35</v>
      </c>
      <c r="P896" t="s">
        <v>37</v>
      </c>
      <c r="Q896">
        <v>244</v>
      </c>
      <c r="R896">
        <v>43</v>
      </c>
      <c r="S896">
        <v>9</v>
      </c>
      <c r="T896" t="s">
        <v>36</v>
      </c>
      <c r="U896" t="s">
        <v>36</v>
      </c>
      <c r="V896" t="s">
        <v>36</v>
      </c>
      <c r="W896" t="s">
        <v>60</v>
      </c>
      <c r="X896">
        <v>2025</v>
      </c>
      <c r="Y896" t="s">
        <v>61</v>
      </c>
      <c r="Z896" t="s">
        <v>70</v>
      </c>
      <c r="AA896" t="s">
        <v>41</v>
      </c>
    </row>
    <row r="897" spans="1:27" x14ac:dyDescent="0.3">
      <c r="A897" t="s">
        <v>1016</v>
      </c>
      <c r="B897" t="s">
        <v>28</v>
      </c>
      <c r="C897">
        <v>36</v>
      </c>
      <c r="D897" t="s">
        <v>85</v>
      </c>
      <c r="E897" t="s">
        <v>151</v>
      </c>
      <c r="F897" t="s">
        <v>46</v>
      </c>
      <c r="G897">
        <v>81024</v>
      </c>
      <c r="H897" s="1">
        <v>45678</v>
      </c>
      <c r="I897" t="s">
        <v>47</v>
      </c>
      <c r="J897" t="s">
        <v>101</v>
      </c>
      <c r="K897" t="s">
        <v>34</v>
      </c>
      <c r="L897">
        <v>14</v>
      </c>
      <c r="M897">
        <v>2</v>
      </c>
      <c r="N897">
        <v>3</v>
      </c>
      <c r="O897" t="s">
        <v>59</v>
      </c>
      <c r="P897" t="s">
        <v>36</v>
      </c>
      <c r="Q897">
        <v>189</v>
      </c>
      <c r="R897">
        <v>33</v>
      </c>
      <c r="S897">
        <v>7</v>
      </c>
      <c r="T897" t="s">
        <v>36</v>
      </c>
      <c r="U897" t="s">
        <v>36</v>
      </c>
      <c r="V897" t="s">
        <v>36</v>
      </c>
      <c r="W897" t="s">
        <v>60</v>
      </c>
      <c r="X897">
        <v>2025</v>
      </c>
      <c r="Y897" t="s">
        <v>94</v>
      </c>
      <c r="Z897" t="s">
        <v>62</v>
      </c>
      <c r="AA897" t="s">
        <v>52</v>
      </c>
    </row>
    <row r="898" spans="1:27" x14ac:dyDescent="0.3">
      <c r="A898" t="s">
        <v>1017</v>
      </c>
      <c r="B898" t="s">
        <v>28</v>
      </c>
      <c r="C898">
        <v>30</v>
      </c>
      <c r="D898" t="s">
        <v>29</v>
      </c>
      <c r="E898" t="s">
        <v>30</v>
      </c>
      <c r="F898" t="s">
        <v>46</v>
      </c>
      <c r="G898">
        <v>81639</v>
      </c>
      <c r="H898" s="1">
        <v>45506</v>
      </c>
      <c r="I898" t="s">
        <v>98</v>
      </c>
      <c r="J898" t="s">
        <v>73</v>
      </c>
      <c r="K898" t="s">
        <v>49</v>
      </c>
      <c r="L898">
        <v>14</v>
      </c>
      <c r="M898">
        <v>5</v>
      </c>
      <c r="N898">
        <v>1</v>
      </c>
      <c r="O898" t="s">
        <v>35</v>
      </c>
      <c r="P898" t="s">
        <v>37</v>
      </c>
      <c r="Q898">
        <v>207</v>
      </c>
      <c r="R898">
        <v>25</v>
      </c>
      <c r="S898">
        <v>3</v>
      </c>
      <c r="T898" t="s">
        <v>36</v>
      </c>
      <c r="U898" t="s">
        <v>36</v>
      </c>
      <c r="V898" t="s">
        <v>37</v>
      </c>
      <c r="W898" t="s">
        <v>38</v>
      </c>
      <c r="X898">
        <v>2024</v>
      </c>
      <c r="Y898" t="s">
        <v>128</v>
      </c>
      <c r="Z898" t="s">
        <v>75</v>
      </c>
      <c r="AA898" t="s">
        <v>52</v>
      </c>
    </row>
    <row r="899" spans="1:27" x14ac:dyDescent="0.3">
      <c r="A899" t="s">
        <v>1018</v>
      </c>
      <c r="B899" t="s">
        <v>28</v>
      </c>
      <c r="C899">
        <v>33</v>
      </c>
      <c r="D899" t="s">
        <v>89</v>
      </c>
      <c r="E899" t="s">
        <v>130</v>
      </c>
      <c r="F899" t="s">
        <v>56</v>
      </c>
      <c r="G899">
        <v>35020</v>
      </c>
      <c r="H899" s="1">
        <v>44804</v>
      </c>
      <c r="I899" t="s">
        <v>57</v>
      </c>
      <c r="J899" t="s">
        <v>48</v>
      </c>
      <c r="K899" t="s">
        <v>58</v>
      </c>
      <c r="L899">
        <v>3</v>
      </c>
      <c r="M899">
        <v>2</v>
      </c>
      <c r="N899">
        <v>5</v>
      </c>
      <c r="O899" t="s">
        <v>50</v>
      </c>
      <c r="P899" t="s">
        <v>36</v>
      </c>
      <c r="Q899">
        <v>216</v>
      </c>
      <c r="R899">
        <v>55</v>
      </c>
      <c r="S899">
        <v>25</v>
      </c>
      <c r="T899" t="s">
        <v>36</v>
      </c>
      <c r="U899" t="s">
        <v>36</v>
      </c>
      <c r="V899" t="s">
        <v>37</v>
      </c>
      <c r="W899" t="s">
        <v>38</v>
      </c>
      <c r="X899">
        <v>2022</v>
      </c>
      <c r="Y899" t="s">
        <v>128</v>
      </c>
      <c r="Z899" t="s">
        <v>40</v>
      </c>
      <c r="AA899" t="s">
        <v>63</v>
      </c>
    </row>
    <row r="900" spans="1:27" x14ac:dyDescent="0.3">
      <c r="A900" t="s">
        <v>1019</v>
      </c>
      <c r="B900" t="s">
        <v>28</v>
      </c>
      <c r="C900">
        <v>40</v>
      </c>
      <c r="D900" t="s">
        <v>44</v>
      </c>
      <c r="E900" t="s">
        <v>115</v>
      </c>
      <c r="F900" t="s">
        <v>56</v>
      </c>
      <c r="G900">
        <v>29457</v>
      </c>
      <c r="H900" s="1">
        <v>45736</v>
      </c>
      <c r="I900" t="s">
        <v>32</v>
      </c>
      <c r="J900" t="s">
        <v>91</v>
      </c>
      <c r="K900" t="s">
        <v>34</v>
      </c>
      <c r="L900">
        <v>2</v>
      </c>
      <c r="M900">
        <v>4</v>
      </c>
      <c r="N900">
        <v>5</v>
      </c>
      <c r="O900" t="s">
        <v>50</v>
      </c>
      <c r="P900" t="s">
        <v>36</v>
      </c>
      <c r="Q900">
        <v>209</v>
      </c>
      <c r="R900">
        <v>28</v>
      </c>
      <c r="S900">
        <v>9</v>
      </c>
      <c r="T900" t="s">
        <v>36</v>
      </c>
      <c r="U900" t="s">
        <v>36</v>
      </c>
      <c r="V900" t="s">
        <v>36</v>
      </c>
      <c r="W900" t="s">
        <v>126</v>
      </c>
      <c r="X900">
        <v>2025</v>
      </c>
      <c r="Y900" t="s">
        <v>142</v>
      </c>
      <c r="Z900" t="s">
        <v>62</v>
      </c>
      <c r="AA900" t="s">
        <v>63</v>
      </c>
    </row>
    <row r="901" spans="1:27" x14ac:dyDescent="0.3">
      <c r="A901" t="s">
        <v>1020</v>
      </c>
      <c r="B901" t="s">
        <v>28</v>
      </c>
      <c r="C901">
        <v>26</v>
      </c>
      <c r="D901" t="s">
        <v>29</v>
      </c>
      <c r="E901" t="s">
        <v>93</v>
      </c>
      <c r="F901" t="s">
        <v>56</v>
      </c>
      <c r="G901">
        <v>37113</v>
      </c>
      <c r="H901" s="1">
        <v>44433</v>
      </c>
      <c r="I901" t="s">
        <v>57</v>
      </c>
      <c r="J901" t="s">
        <v>91</v>
      </c>
      <c r="K901" t="s">
        <v>58</v>
      </c>
      <c r="L901">
        <v>2</v>
      </c>
      <c r="M901">
        <v>4</v>
      </c>
      <c r="N901">
        <v>1</v>
      </c>
      <c r="O901" t="s">
        <v>68</v>
      </c>
      <c r="P901" t="s">
        <v>36</v>
      </c>
      <c r="Q901">
        <v>259</v>
      </c>
      <c r="R901">
        <v>78</v>
      </c>
      <c r="S901">
        <v>30</v>
      </c>
      <c r="T901" t="s">
        <v>37</v>
      </c>
      <c r="U901" t="s">
        <v>36</v>
      </c>
      <c r="V901" t="s">
        <v>37</v>
      </c>
      <c r="W901" t="s">
        <v>38</v>
      </c>
      <c r="X901">
        <v>2021</v>
      </c>
      <c r="Y901" t="s">
        <v>128</v>
      </c>
      <c r="Z901" t="s">
        <v>75</v>
      </c>
      <c r="AA901" t="s">
        <v>63</v>
      </c>
    </row>
    <row r="902" spans="1:27" x14ac:dyDescent="0.3">
      <c r="A902" t="s">
        <v>1021</v>
      </c>
      <c r="B902" t="s">
        <v>28</v>
      </c>
      <c r="C902">
        <v>34</v>
      </c>
      <c r="D902" t="s">
        <v>85</v>
      </c>
      <c r="E902" t="s">
        <v>168</v>
      </c>
      <c r="F902" t="s">
        <v>46</v>
      </c>
      <c r="G902">
        <v>108516</v>
      </c>
      <c r="H902" s="1">
        <v>43844</v>
      </c>
      <c r="I902" t="s">
        <v>32</v>
      </c>
      <c r="J902" t="s">
        <v>99</v>
      </c>
      <c r="K902" t="s">
        <v>34</v>
      </c>
      <c r="L902">
        <v>5</v>
      </c>
      <c r="M902">
        <v>3</v>
      </c>
      <c r="N902">
        <v>2</v>
      </c>
      <c r="O902" t="s">
        <v>59</v>
      </c>
      <c r="P902" t="s">
        <v>36</v>
      </c>
      <c r="Q902">
        <v>185</v>
      </c>
      <c r="R902">
        <v>65</v>
      </c>
      <c r="S902">
        <v>4</v>
      </c>
      <c r="T902" t="s">
        <v>37</v>
      </c>
      <c r="U902" t="s">
        <v>36</v>
      </c>
      <c r="V902" t="s">
        <v>37</v>
      </c>
      <c r="W902" t="s">
        <v>38</v>
      </c>
      <c r="X902">
        <v>2020</v>
      </c>
      <c r="Y902" t="s">
        <v>94</v>
      </c>
      <c r="Z902" t="s">
        <v>40</v>
      </c>
      <c r="AA902" t="s">
        <v>87</v>
      </c>
    </row>
    <row r="903" spans="1:27" x14ac:dyDescent="0.3">
      <c r="A903" t="s">
        <v>1022</v>
      </c>
      <c r="B903" t="s">
        <v>43</v>
      </c>
      <c r="C903">
        <v>29</v>
      </c>
      <c r="D903" t="s">
        <v>54</v>
      </c>
      <c r="E903" t="s">
        <v>153</v>
      </c>
      <c r="F903" t="s">
        <v>31</v>
      </c>
      <c r="G903">
        <v>55035</v>
      </c>
      <c r="H903" s="1">
        <v>46059</v>
      </c>
      <c r="I903" t="s">
        <v>47</v>
      </c>
      <c r="J903" t="s">
        <v>118</v>
      </c>
      <c r="K903" t="s">
        <v>49</v>
      </c>
      <c r="L903">
        <v>2</v>
      </c>
      <c r="M903">
        <v>2</v>
      </c>
      <c r="N903">
        <v>2</v>
      </c>
      <c r="O903" t="s">
        <v>68</v>
      </c>
      <c r="P903" t="s">
        <v>37</v>
      </c>
      <c r="Q903">
        <v>176</v>
      </c>
      <c r="R903">
        <v>11</v>
      </c>
      <c r="S903">
        <v>5</v>
      </c>
      <c r="T903" t="s">
        <v>36</v>
      </c>
      <c r="U903" t="s">
        <v>36</v>
      </c>
      <c r="V903" t="s">
        <v>37</v>
      </c>
      <c r="W903" t="s">
        <v>38</v>
      </c>
      <c r="X903">
        <v>2026</v>
      </c>
      <c r="Y903" t="s">
        <v>39</v>
      </c>
      <c r="Z903" t="s">
        <v>75</v>
      </c>
      <c r="AA903" t="s">
        <v>41</v>
      </c>
    </row>
    <row r="904" spans="1:27" x14ac:dyDescent="0.3">
      <c r="A904" t="s">
        <v>1023</v>
      </c>
      <c r="B904" t="s">
        <v>28</v>
      </c>
      <c r="C904">
        <v>32</v>
      </c>
      <c r="D904" t="s">
        <v>54</v>
      </c>
      <c r="E904" t="s">
        <v>153</v>
      </c>
      <c r="F904" t="s">
        <v>96</v>
      </c>
      <c r="G904">
        <v>142782</v>
      </c>
      <c r="H904" s="1">
        <v>43996</v>
      </c>
      <c r="I904" t="s">
        <v>107</v>
      </c>
      <c r="J904" t="s">
        <v>101</v>
      </c>
      <c r="K904" t="s">
        <v>58</v>
      </c>
      <c r="L904">
        <v>9</v>
      </c>
      <c r="M904">
        <v>2</v>
      </c>
      <c r="N904">
        <v>1</v>
      </c>
      <c r="O904" t="s">
        <v>68</v>
      </c>
      <c r="P904" t="s">
        <v>37</v>
      </c>
      <c r="Q904">
        <v>229</v>
      </c>
      <c r="R904">
        <v>32</v>
      </c>
      <c r="S904">
        <v>3</v>
      </c>
      <c r="T904" t="s">
        <v>36</v>
      </c>
      <c r="U904" t="s">
        <v>37</v>
      </c>
      <c r="V904" t="s">
        <v>36</v>
      </c>
      <c r="W904" t="s">
        <v>60</v>
      </c>
      <c r="X904">
        <v>2020</v>
      </c>
      <c r="Y904" t="s">
        <v>61</v>
      </c>
      <c r="Z904" t="s">
        <v>40</v>
      </c>
      <c r="AA904" t="s">
        <v>105</v>
      </c>
    </row>
    <row r="905" spans="1:27" x14ac:dyDescent="0.3">
      <c r="A905" t="s">
        <v>1024</v>
      </c>
      <c r="B905" t="s">
        <v>43</v>
      </c>
      <c r="C905">
        <v>40</v>
      </c>
      <c r="D905" t="s">
        <v>77</v>
      </c>
      <c r="E905" t="s">
        <v>78</v>
      </c>
      <c r="F905" t="s">
        <v>31</v>
      </c>
      <c r="G905">
        <v>59568</v>
      </c>
      <c r="H905" s="1">
        <v>46170</v>
      </c>
      <c r="I905" t="s">
        <v>57</v>
      </c>
      <c r="J905" t="s">
        <v>73</v>
      </c>
      <c r="K905" t="s">
        <v>49</v>
      </c>
      <c r="L905">
        <v>2</v>
      </c>
      <c r="M905">
        <v>2</v>
      </c>
      <c r="N905">
        <v>4</v>
      </c>
      <c r="O905" t="s">
        <v>68</v>
      </c>
      <c r="P905" t="s">
        <v>36</v>
      </c>
      <c r="Q905">
        <v>235</v>
      </c>
      <c r="R905">
        <v>17</v>
      </c>
      <c r="S905">
        <v>4</v>
      </c>
      <c r="T905" t="s">
        <v>36</v>
      </c>
      <c r="U905" t="s">
        <v>36</v>
      </c>
      <c r="V905" t="s">
        <v>36</v>
      </c>
      <c r="W905" t="s">
        <v>60</v>
      </c>
      <c r="X905">
        <v>2026</v>
      </c>
      <c r="Y905" t="s">
        <v>74</v>
      </c>
      <c r="Z905" t="s">
        <v>62</v>
      </c>
      <c r="AA905" t="s">
        <v>41</v>
      </c>
    </row>
    <row r="906" spans="1:27" x14ac:dyDescent="0.3">
      <c r="A906" t="s">
        <v>1025</v>
      </c>
      <c r="B906" t="s">
        <v>43</v>
      </c>
      <c r="C906">
        <v>33</v>
      </c>
      <c r="D906" t="s">
        <v>85</v>
      </c>
      <c r="E906" t="s">
        <v>151</v>
      </c>
      <c r="F906" t="s">
        <v>56</v>
      </c>
      <c r="G906">
        <v>38703</v>
      </c>
      <c r="H906" s="1">
        <v>44080</v>
      </c>
      <c r="I906" t="s">
        <v>98</v>
      </c>
      <c r="J906" t="s">
        <v>33</v>
      </c>
      <c r="K906" t="s">
        <v>34</v>
      </c>
      <c r="L906">
        <v>1</v>
      </c>
      <c r="M906">
        <v>5</v>
      </c>
      <c r="N906">
        <v>3</v>
      </c>
      <c r="O906" t="s">
        <v>50</v>
      </c>
      <c r="P906" t="s">
        <v>36</v>
      </c>
      <c r="Q906">
        <v>166</v>
      </c>
      <c r="R906">
        <v>49</v>
      </c>
      <c r="S906">
        <v>25</v>
      </c>
      <c r="T906" t="s">
        <v>36</v>
      </c>
      <c r="U906" t="s">
        <v>37</v>
      </c>
      <c r="V906" t="s">
        <v>36</v>
      </c>
      <c r="W906" t="s">
        <v>60</v>
      </c>
      <c r="X906">
        <v>2020</v>
      </c>
      <c r="Y906" t="s">
        <v>51</v>
      </c>
      <c r="Z906" t="s">
        <v>40</v>
      </c>
      <c r="AA906" t="s">
        <v>63</v>
      </c>
    </row>
    <row r="907" spans="1:27" x14ac:dyDescent="0.3">
      <c r="A907" t="s">
        <v>1026</v>
      </c>
      <c r="B907" t="s">
        <v>28</v>
      </c>
      <c r="C907">
        <v>32</v>
      </c>
      <c r="D907" t="s">
        <v>44</v>
      </c>
      <c r="E907" t="s">
        <v>109</v>
      </c>
      <c r="F907" t="s">
        <v>31</v>
      </c>
      <c r="G907">
        <v>67533</v>
      </c>
      <c r="H907" s="1">
        <v>45855</v>
      </c>
      <c r="I907" t="s">
        <v>107</v>
      </c>
      <c r="J907" t="s">
        <v>33</v>
      </c>
      <c r="K907" t="s">
        <v>49</v>
      </c>
      <c r="L907">
        <v>7</v>
      </c>
      <c r="M907">
        <v>4</v>
      </c>
      <c r="N907">
        <v>1</v>
      </c>
      <c r="O907" t="s">
        <v>50</v>
      </c>
      <c r="P907" t="s">
        <v>37</v>
      </c>
      <c r="Q907">
        <v>179</v>
      </c>
      <c r="R907">
        <v>75</v>
      </c>
      <c r="S907">
        <v>12</v>
      </c>
      <c r="T907" t="s">
        <v>36</v>
      </c>
      <c r="U907" t="s">
        <v>36</v>
      </c>
      <c r="V907" t="s">
        <v>37</v>
      </c>
      <c r="W907" t="s">
        <v>38</v>
      </c>
      <c r="X907">
        <v>2025</v>
      </c>
      <c r="Y907" t="s">
        <v>79</v>
      </c>
      <c r="Z907" t="s">
        <v>40</v>
      </c>
      <c r="AA907" t="s">
        <v>52</v>
      </c>
    </row>
    <row r="908" spans="1:27" x14ac:dyDescent="0.3">
      <c r="A908" t="s">
        <v>1027</v>
      </c>
      <c r="B908" t="s">
        <v>43</v>
      </c>
      <c r="C908">
        <v>22</v>
      </c>
      <c r="D908" t="s">
        <v>77</v>
      </c>
      <c r="E908" t="s">
        <v>78</v>
      </c>
      <c r="F908" t="s">
        <v>31</v>
      </c>
      <c r="G908">
        <v>48947</v>
      </c>
      <c r="H908" s="1">
        <v>44528</v>
      </c>
      <c r="I908" t="s">
        <v>47</v>
      </c>
      <c r="J908" t="s">
        <v>48</v>
      </c>
      <c r="K908" t="s">
        <v>49</v>
      </c>
      <c r="L908">
        <v>2</v>
      </c>
      <c r="M908">
        <v>1</v>
      </c>
      <c r="N908">
        <v>2</v>
      </c>
      <c r="O908" t="s">
        <v>68</v>
      </c>
      <c r="P908" t="s">
        <v>37</v>
      </c>
      <c r="Q908">
        <v>168</v>
      </c>
      <c r="R908">
        <v>66</v>
      </c>
      <c r="S908">
        <v>9</v>
      </c>
      <c r="T908" t="s">
        <v>36</v>
      </c>
      <c r="U908" t="s">
        <v>36</v>
      </c>
      <c r="V908" t="s">
        <v>36</v>
      </c>
      <c r="W908" t="s">
        <v>126</v>
      </c>
      <c r="X908">
        <v>2021</v>
      </c>
      <c r="Y908" t="s">
        <v>123</v>
      </c>
      <c r="Z908" t="s">
        <v>104</v>
      </c>
      <c r="AA908" t="s">
        <v>41</v>
      </c>
    </row>
    <row r="909" spans="1:27" x14ac:dyDescent="0.3">
      <c r="A909" t="s">
        <v>1028</v>
      </c>
      <c r="B909" t="s">
        <v>43</v>
      </c>
      <c r="C909">
        <v>37</v>
      </c>
      <c r="D909" t="s">
        <v>29</v>
      </c>
      <c r="E909" t="s">
        <v>93</v>
      </c>
      <c r="F909" t="s">
        <v>56</v>
      </c>
      <c r="G909">
        <v>42519</v>
      </c>
      <c r="H909" s="1">
        <v>45232</v>
      </c>
      <c r="I909" t="s">
        <v>107</v>
      </c>
      <c r="J909" t="s">
        <v>48</v>
      </c>
      <c r="K909" t="s">
        <v>49</v>
      </c>
      <c r="L909">
        <v>0</v>
      </c>
      <c r="M909">
        <v>4</v>
      </c>
      <c r="N909">
        <v>5</v>
      </c>
      <c r="O909" t="s">
        <v>50</v>
      </c>
      <c r="P909" t="s">
        <v>37</v>
      </c>
      <c r="Q909">
        <v>202</v>
      </c>
      <c r="R909">
        <v>38</v>
      </c>
      <c r="S909">
        <v>29</v>
      </c>
      <c r="T909" t="s">
        <v>37</v>
      </c>
      <c r="U909" t="s">
        <v>36</v>
      </c>
      <c r="V909" t="s">
        <v>37</v>
      </c>
      <c r="W909" t="s">
        <v>38</v>
      </c>
      <c r="X909">
        <v>2023</v>
      </c>
      <c r="Y909" t="s">
        <v>123</v>
      </c>
      <c r="Z909" t="s">
        <v>62</v>
      </c>
      <c r="AA909" t="s">
        <v>41</v>
      </c>
    </row>
    <row r="910" spans="1:27" x14ac:dyDescent="0.3">
      <c r="A910" t="s">
        <v>1029</v>
      </c>
      <c r="B910" t="s">
        <v>28</v>
      </c>
      <c r="C910">
        <v>36</v>
      </c>
      <c r="D910" t="s">
        <v>44</v>
      </c>
      <c r="E910" t="s">
        <v>109</v>
      </c>
      <c r="F910" t="s">
        <v>56</v>
      </c>
      <c r="G910">
        <v>36182</v>
      </c>
      <c r="H910" s="1">
        <v>43976</v>
      </c>
      <c r="I910" t="s">
        <v>47</v>
      </c>
      <c r="J910" t="s">
        <v>91</v>
      </c>
      <c r="K910" t="s">
        <v>49</v>
      </c>
      <c r="L910">
        <v>0</v>
      </c>
      <c r="M910">
        <v>1</v>
      </c>
      <c r="N910">
        <v>5</v>
      </c>
      <c r="O910" t="s">
        <v>50</v>
      </c>
      <c r="P910" t="s">
        <v>36</v>
      </c>
      <c r="Q910">
        <v>201</v>
      </c>
      <c r="R910">
        <v>13</v>
      </c>
      <c r="S910">
        <v>13</v>
      </c>
      <c r="T910" t="s">
        <v>36</v>
      </c>
      <c r="U910" t="s">
        <v>36</v>
      </c>
      <c r="V910" t="s">
        <v>36</v>
      </c>
      <c r="W910" t="s">
        <v>60</v>
      </c>
      <c r="X910">
        <v>2020</v>
      </c>
      <c r="Y910" t="s">
        <v>74</v>
      </c>
      <c r="Z910" t="s">
        <v>62</v>
      </c>
      <c r="AA910" t="s">
        <v>63</v>
      </c>
    </row>
    <row r="911" spans="1:27" x14ac:dyDescent="0.3">
      <c r="A911" t="s">
        <v>1030</v>
      </c>
      <c r="B911" t="s">
        <v>43</v>
      </c>
      <c r="C911">
        <v>47</v>
      </c>
      <c r="D911" t="s">
        <v>81</v>
      </c>
      <c r="E911" t="s">
        <v>165</v>
      </c>
      <c r="F911" t="s">
        <v>31</v>
      </c>
      <c r="G911">
        <v>50064</v>
      </c>
      <c r="H911" s="1">
        <v>45430</v>
      </c>
      <c r="I911" t="s">
        <v>57</v>
      </c>
      <c r="J911" t="s">
        <v>99</v>
      </c>
      <c r="K911" t="s">
        <v>58</v>
      </c>
      <c r="L911">
        <v>4</v>
      </c>
      <c r="M911">
        <v>1</v>
      </c>
      <c r="N911">
        <v>2</v>
      </c>
      <c r="O911" t="s">
        <v>35</v>
      </c>
      <c r="P911" t="s">
        <v>36</v>
      </c>
      <c r="Q911">
        <v>209</v>
      </c>
      <c r="R911">
        <v>9</v>
      </c>
      <c r="S911">
        <v>8</v>
      </c>
      <c r="T911" t="s">
        <v>37</v>
      </c>
      <c r="U911" t="s">
        <v>36</v>
      </c>
      <c r="V911" t="s">
        <v>37</v>
      </c>
      <c r="W911" t="s">
        <v>38</v>
      </c>
      <c r="X911">
        <v>2024</v>
      </c>
      <c r="Y911" t="s">
        <v>74</v>
      </c>
      <c r="Z911" t="s">
        <v>70</v>
      </c>
      <c r="AA911" t="s">
        <v>41</v>
      </c>
    </row>
    <row r="912" spans="1:27" x14ac:dyDescent="0.3">
      <c r="A912" t="s">
        <v>1031</v>
      </c>
      <c r="B912" t="s">
        <v>43</v>
      </c>
      <c r="C912">
        <v>29</v>
      </c>
      <c r="D912" t="s">
        <v>44</v>
      </c>
      <c r="E912" t="s">
        <v>219</v>
      </c>
      <c r="F912" t="s">
        <v>96</v>
      </c>
      <c r="G912">
        <v>142250</v>
      </c>
      <c r="H912" s="1">
        <v>43834</v>
      </c>
      <c r="I912" t="s">
        <v>98</v>
      </c>
      <c r="J912" t="s">
        <v>48</v>
      </c>
      <c r="K912" t="s">
        <v>34</v>
      </c>
      <c r="L912">
        <v>12</v>
      </c>
      <c r="M912">
        <v>4</v>
      </c>
      <c r="N912">
        <v>2</v>
      </c>
      <c r="O912" t="s">
        <v>50</v>
      </c>
      <c r="P912" t="s">
        <v>36</v>
      </c>
      <c r="Q912">
        <v>216</v>
      </c>
      <c r="R912">
        <v>62</v>
      </c>
      <c r="S912">
        <v>5</v>
      </c>
      <c r="T912" t="s">
        <v>37</v>
      </c>
      <c r="U912" t="s">
        <v>37</v>
      </c>
      <c r="V912" t="s">
        <v>36</v>
      </c>
      <c r="W912" t="s">
        <v>60</v>
      </c>
      <c r="X912">
        <v>2020</v>
      </c>
      <c r="Y912" t="s">
        <v>94</v>
      </c>
      <c r="Z912" t="s">
        <v>75</v>
      </c>
      <c r="AA912" t="s">
        <v>105</v>
      </c>
    </row>
    <row r="913" spans="1:27" x14ac:dyDescent="0.3">
      <c r="A913" t="s">
        <v>1032</v>
      </c>
      <c r="B913" t="s">
        <v>28</v>
      </c>
      <c r="C913">
        <v>33</v>
      </c>
      <c r="D913" t="s">
        <v>65</v>
      </c>
      <c r="E913" t="s">
        <v>120</v>
      </c>
      <c r="F913" t="s">
        <v>96</v>
      </c>
      <c r="G913">
        <v>101067</v>
      </c>
      <c r="H913" s="1">
        <v>45548</v>
      </c>
      <c r="I913" t="s">
        <v>32</v>
      </c>
      <c r="J913" t="s">
        <v>91</v>
      </c>
      <c r="K913" t="s">
        <v>58</v>
      </c>
      <c r="L913">
        <v>11</v>
      </c>
      <c r="M913">
        <v>1</v>
      </c>
      <c r="N913">
        <v>4</v>
      </c>
      <c r="O913" t="s">
        <v>35</v>
      </c>
      <c r="P913" t="s">
        <v>36</v>
      </c>
      <c r="Q913">
        <v>163</v>
      </c>
      <c r="R913">
        <v>41</v>
      </c>
      <c r="S913">
        <v>13</v>
      </c>
      <c r="T913" t="s">
        <v>36</v>
      </c>
      <c r="U913" t="s">
        <v>36</v>
      </c>
      <c r="V913" t="s">
        <v>37</v>
      </c>
      <c r="W913" t="s">
        <v>38</v>
      </c>
      <c r="X913">
        <v>2024</v>
      </c>
      <c r="Y913" t="s">
        <v>51</v>
      </c>
      <c r="Z913" t="s">
        <v>40</v>
      </c>
      <c r="AA913" t="s">
        <v>87</v>
      </c>
    </row>
    <row r="914" spans="1:27" x14ac:dyDescent="0.3">
      <c r="A914" t="s">
        <v>1033</v>
      </c>
      <c r="B914" t="s">
        <v>43</v>
      </c>
      <c r="C914">
        <v>33</v>
      </c>
      <c r="D914" t="s">
        <v>89</v>
      </c>
      <c r="E914" t="s">
        <v>144</v>
      </c>
      <c r="F914" t="s">
        <v>31</v>
      </c>
      <c r="G914">
        <v>68248</v>
      </c>
      <c r="H914" s="1">
        <v>44182</v>
      </c>
      <c r="I914" t="s">
        <v>98</v>
      </c>
      <c r="J914" t="s">
        <v>91</v>
      </c>
      <c r="K914" t="s">
        <v>49</v>
      </c>
      <c r="L914">
        <v>5</v>
      </c>
      <c r="M914">
        <v>1</v>
      </c>
      <c r="N914">
        <v>2</v>
      </c>
      <c r="O914" t="s">
        <v>59</v>
      </c>
      <c r="P914" t="s">
        <v>37</v>
      </c>
      <c r="Q914">
        <v>152</v>
      </c>
      <c r="R914">
        <v>59</v>
      </c>
      <c r="S914">
        <v>21</v>
      </c>
      <c r="T914" t="s">
        <v>36</v>
      </c>
      <c r="U914" t="s">
        <v>36</v>
      </c>
      <c r="V914" t="s">
        <v>37</v>
      </c>
      <c r="W914" t="s">
        <v>38</v>
      </c>
      <c r="X914">
        <v>2020</v>
      </c>
      <c r="Y914" t="s">
        <v>116</v>
      </c>
      <c r="Z914" t="s">
        <v>40</v>
      </c>
      <c r="AA914" t="s">
        <v>52</v>
      </c>
    </row>
    <row r="915" spans="1:27" x14ac:dyDescent="0.3">
      <c r="A915" t="s">
        <v>1034</v>
      </c>
      <c r="B915" t="s">
        <v>43</v>
      </c>
      <c r="C915">
        <v>43</v>
      </c>
      <c r="D915" t="s">
        <v>29</v>
      </c>
      <c r="E915" t="s">
        <v>93</v>
      </c>
      <c r="F915" t="s">
        <v>56</v>
      </c>
      <c r="G915">
        <v>28179</v>
      </c>
      <c r="H915" s="1">
        <v>44280</v>
      </c>
      <c r="I915" t="s">
        <v>47</v>
      </c>
      <c r="J915" t="s">
        <v>118</v>
      </c>
      <c r="K915" t="s">
        <v>49</v>
      </c>
      <c r="L915">
        <v>2</v>
      </c>
      <c r="M915">
        <v>2</v>
      </c>
      <c r="N915">
        <v>5</v>
      </c>
      <c r="O915" t="s">
        <v>68</v>
      </c>
      <c r="P915" t="s">
        <v>36</v>
      </c>
      <c r="Q915">
        <v>170</v>
      </c>
      <c r="R915">
        <v>15</v>
      </c>
      <c r="S915">
        <v>13</v>
      </c>
      <c r="T915" t="s">
        <v>36</v>
      </c>
      <c r="U915" t="s">
        <v>36</v>
      </c>
      <c r="V915" t="s">
        <v>36</v>
      </c>
      <c r="W915" t="s">
        <v>60</v>
      </c>
      <c r="X915">
        <v>2021</v>
      </c>
      <c r="Y915" t="s">
        <v>142</v>
      </c>
      <c r="Z915" t="s">
        <v>70</v>
      </c>
      <c r="AA915" t="s">
        <v>63</v>
      </c>
    </row>
    <row r="916" spans="1:27" x14ac:dyDescent="0.3">
      <c r="A916" t="s">
        <v>1035</v>
      </c>
      <c r="B916" t="s">
        <v>28</v>
      </c>
      <c r="C916">
        <v>31</v>
      </c>
      <c r="D916" t="s">
        <v>85</v>
      </c>
      <c r="E916" t="s">
        <v>159</v>
      </c>
      <c r="F916" t="s">
        <v>56</v>
      </c>
      <c r="G916">
        <v>29051</v>
      </c>
      <c r="H916" s="1">
        <v>44555</v>
      </c>
      <c r="I916" t="s">
        <v>98</v>
      </c>
      <c r="J916" t="s">
        <v>99</v>
      </c>
      <c r="K916" t="s">
        <v>58</v>
      </c>
      <c r="L916">
        <v>0</v>
      </c>
      <c r="M916">
        <v>4</v>
      </c>
      <c r="N916">
        <v>4</v>
      </c>
      <c r="O916" t="s">
        <v>35</v>
      </c>
      <c r="P916" t="s">
        <v>36</v>
      </c>
      <c r="Q916">
        <v>162</v>
      </c>
      <c r="R916">
        <v>11</v>
      </c>
      <c r="S916">
        <v>16</v>
      </c>
      <c r="T916" t="s">
        <v>36</v>
      </c>
      <c r="U916" t="s">
        <v>36</v>
      </c>
      <c r="V916" t="s">
        <v>36</v>
      </c>
      <c r="W916" t="s">
        <v>126</v>
      </c>
      <c r="X916">
        <v>2021</v>
      </c>
      <c r="Y916" t="s">
        <v>116</v>
      </c>
      <c r="Z916" t="s">
        <v>40</v>
      </c>
      <c r="AA916" t="s">
        <v>63</v>
      </c>
    </row>
    <row r="917" spans="1:27" x14ac:dyDescent="0.3">
      <c r="A917" t="s">
        <v>1036</v>
      </c>
      <c r="B917" t="s">
        <v>43</v>
      </c>
      <c r="C917">
        <v>33</v>
      </c>
      <c r="D917" t="s">
        <v>54</v>
      </c>
      <c r="E917" t="s">
        <v>207</v>
      </c>
      <c r="F917" t="s">
        <v>56</v>
      </c>
      <c r="G917">
        <v>28643</v>
      </c>
      <c r="H917" s="1">
        <v>45864</v>
      </c>
      <c r="I917" t="s">
        <v>107</v>
      </c>
      <c r="J917" t="s">
        <v>33</v>
      </c>
      <c r="K917" t="s">
        <v>34</v>
      </c>
      <c r="L917">
        <v>2</v>
      </c>
      <c r="M917">
        <v>2</v>
      </c>
      <c r="N917">
        <v>5</v>
      </c>
      <c r="O917" t="s">
        <v>35</v>
      </c>
      <c r="P917" t="s">
        <v>36</v>
      </c>
      <c r="Q917">
        <v>158</v>
      </c>
      <c r="R917">
        <v>45</v>
      </c>
      <c r="S917">
        <v>27</v>
      </c>
      <c r="T917" t="s">
        <v>37</v>
      </c>
      <c r="U917" t="s">
        <v>36</v>
      </c>
      <c r="V917" t="s">
        <v>36</v>
      </c>
      <c r="W917" t="s">
        <v>60</v>
      </c>
      <c r="X917">
        <v>2025</v>
      </c>
      <c r="Y917" t="s">
        <v>79</v>
      </c>
      <c r="Z917" t="s">
        <v>40</v>
      </c>
      <c r="AA917" t="s">
        <v>63</v>
      </c>
    </row>
    <row r="918" spans="1:27" x14ac:dyDescent="0.3">
      <c r="A918" t="s">
        <v>1037</v>
      </c>
      <c r="B918" t="s">
        <v>43</v>
      </c>
      <c r="C918">
        <v>36</v>
      </c>
      <c r="D918" t="s">
        <v>29</v>
      </c>
      <c r="E918" t="s">
        <v>30</v>
      </c>
      <c r="F918" t="s">
        <v>96</v>
      </c>
      <c r="G918">
        <v>141773</v>
      </c>
      <c r="H918" s="1">
        <v>45948</v>
      </c>
      <c r="I918" t="s">
        <v>98</v>
      </c>
      <c r="J918" t="s">
        <v>101</v>
      </c>
      <c r="K918" t="s">
        <v>34</v>
      </c>
      <c r="L918">
        <v>20</v>
      </c>
      <c r="M918">
        <v>5</v>
      </c>
      <c r="N918">
        <v>4</v>
      </c>
      <c r="O918" t="s">
        <v>35</v>
      </c>
      <c r="P918" t="s">
        <v>36</v>
      </c>
      <c r="Q918">
        <v>178</v>
      </c>
      <c r="R918">
        <v>58</v>
      </c>
      <c r="S918">
        <v>14</v>
      </c>
      <c r="T918" t="s">
        <v>36</v>
      </c>
      <c r="U918" t="s">
        <v>37</v>
      </c>
      <c r="V918" t="s">
        <v>36</v>
      </c>
      <c r="W918" t="s">
        <v>60</v>
      </c>
      <c r="X918">
        <v>2025</v>
      </c>
      <c r="Y918" t="s">
        <v>83</v>
      </c>
      <c r="Z918" t="s">
        <v>62</v>
      </c>
      <c r="AA918" t="s">
        <v>105</v>
      </c>
    </row>
    <row r="919" spans="1:27" x14ac:dyDescent="0.3">
      <c r="A919" t="s">
        <v>1038</v>
      </c>
      <c r="B919" t="s">
        <v>28</v>
      </c>
      <c r="C919">
        <v>33</v>
      </c>
      <c r="D919" t="s">
        <v>77</v>
      </c>
      <c r="E919" t="s">
        <v>133</v>
      </c>
      <c r="F919" t="s">
        <v>56</v>
      </c>
      <c r="G919">
        <v>32864</v>
      </c>
      <c r="H919" s="1">
        <v>45452</v>
      </c>
      <c r="I919" t="s">
        <v>32</v>
      </c>
      <c r="J919" t="s">
        <v>91</v>
      </c>
      <c r="K919" t="s">
        <v>49</v>
      </c>
      <c r="L919">
        <v>1</v>
      </c>
      <c r="M919">
        <v>3</v>
      </c>
      <c r="N919">
        <v>1</v>
      </c>
      <c r="O919" t="s">
        <v>68</v>
      </c>
      <c r="P919" t="s">
        <v>36</v>
      </c>
      <c r="Q919">
        <v>211</v>
      </c>
      <c r="R919">
        <v>31</v>
      </c>
      <c r="S919">
        <v>25</v>
      </c>
      <c r="T919" t="s">
        <v>36</v>
      </c>
      <c r="U919" t="s">
        <v>36</v>
      </c>
      <c r="V919" t="s">
        <v>36</v>
      </c>
      <c r="W919" t="s">
        <v>60</v>
      </c>
      <c r="X919">
        <v>2024</v>
      </c>
      <c r="Y919" t="s">
        <v>61</v>
      </c>
      <c r="Z919" t="s">
        <v>40</v>
      </c>
      <c r="AA919" t="s">
        <v>63</v>
      </c>
    </row>
    <row r="920" spans="1:27" x14ac:dyDescent="0.3">
      <c r="A920" t="s">
        <v>1039</v>
      </c>
      <c r="B920" t="s">
        <v>28</v>
      </c>
      <c r="C920">
        <v>28</v>
      </c>
      <c r="D920" t="s">
        <v>89</v>
      </c>
      <c r="E920" t="s">
        <v>203</v>
      </c>
      <c r="F920" t="s">
        <v>56</v>
      </c>
      <c r="G920">
        <v>36654</v>
      </c>
      <c r="H920" s="1">
        <v>45230</v>
      </c>
      <c r="I920" t="s">
        <v>98</v>
      </c>
      <c r="J920" t="s">
        <v>73</v>
      </c>
      <c r="K920" t="s">
        <v>58</v>
      </c>
      <c r="L920">
        <v>1</v>
      </c>
      <c r="M920">
        <v>2</v>
      </c>
      <c r="N920">
        <v>1</v>
      </c>
      <c r="O920" t="s">
        <v>35</v>
      </c>
      <c r="P920" t="s">
        <v>37</v>
      </c>
      <c r="Q920">
        <v>209</v>
      </c>
      <c r="R920">
        <v>57</v>
      </c>
      <c r="S920">
        <v>3</v>
      </c>
      <c r="T920" t="s">
        <v>37</v>
      </c>
      <c r="U920" t="s">
        <v>37</v>
      </c>
      <c r="V920" t="s">
        <v>36</v>
      </c>
      <c r="W920" t="s">
        <v>60</v>
      </c>
      <c r="X920">
        <v>2023</v>
      </c>
      <c r="Y920" t="s">
        <v>83</v>
      </c>
      <c r="Z920" t="s">
        <v>75</v>
      </c>
      <c r="AA920" t="s">
        <v>63</v>
      </c>
    </row>
    <row r="921" spans="1:27" x14ac:dyDescent="0.3">
      <c r="A921" t="s">
        <v>1040</v>
      </c>
      <c r="B921" t="s">
        <v>43</v>
      </c>
      <c r="C921">
        <v>33</v>
      </c>
      <c r="D921" t="s">
        <v>54</v>
      </c>
      <c r="E921" t="s">
        <v>153</v>
      </c>
      <c r="F921" t="s">
        <v>31</v>
      </c>
      <c r="G921">
        <v>54103</v>
      </c>
      <c r="H921" s="1">
        <v>45985</v>
      </c>
      <c r="I921" t="s">
        <v>57</v>
      </c>
      <c r="J921" t="s">
        <v>48</v>
      </c>
      <c r="K921" t="s">
        <v>49</v>
      </c>
      <c r="L921">
        <v>7</v>
      </c>
      <c r="M921">
        <v>5</v>
      </c>
      <c r="N921">
        <v>5</v>
      </c>
      <c r="O921" t="s">
        <v>35</v>
      </c>
      <c r="P921" t="s">
        <v>36</v>
      </c>
      <c r="Q921">
        <v>214</v>
      </c>
      <c r="R921">
        <v>73</v>
      </c>
      <c r="S921">
        <v>18</v>
      </c>
      <c r="T921" t="s">
        <v>36</v>
      </c>
      <c r="U921" t="s">
        <v>36</v>
      </c>
      <c r="V921" t="s">
        <v>36</v>
      </c>
      <c r="W921" t="s">
        <v>60</v>
      </c>
      <c r="X921">
        <v>2025</v>
      </c>
      <c r="Y921" t="s">
        <v>123</v>
      </c>
      <c r="Z921" t="s">
        <v>40</v>
      </c>
      <c r="AA921" t="s">
        <v>41</v>
      </c>
    </row>
    <row r="922" spans="1:27" x14ac:dyDescent="0.3">
      <c r="A922" t="s">
        <v>1041</v>
      </c>
      <c r="B922" t="s">
        <v>28</v>
      </c>
      <c r="C922">
        <v>39</v>
      </c>
      <c r="D922" t="s">
        <v>54</v>
      </c>
      <c r="E922" t="s">
        <v>55</v>
      </c>
      <c r="F922" t="s">
        <v>46</v>
      </c>
      <c r="G922">
        <v>84930</v>
      </c>
      <c r="H922" s="1">
        <v>44032</v>
      </c>
      <c r="I922" t="s">
        <v>47</v>
      </c>
      <c r="J922" t="s">
        <v>91</v>
      </c>
      <c r="K922" t="s">
        <v>49</v>
      </c>
      <c r="L922">
        <v>13</v>
      </c>
      <c r="M922">
        <v>2</v>
      </c>
      <c r="N922">
        <v>1</v>
      </c>
      <c r="O922" t="s">
        <v>35</v>
      </c>
      <c r="P922" t="s">
        <v>36</v>
      </c>
      <c r="Q922">
        <v>195</v>
      </c>
      <c r="R922">
        <v>74</v>
      </c>
      <c r="S922">
        <v>7</v>
      </c>
      <c r="T922" t="s">
        <v>37</v>
      </c>
      <c r="U922" t="s">
        <v>36</v>
      </c>
      <c r="V922" t="s">
        <v>36</v>
      </c>
      <c r="W922" t="s">
        <v>60</v>
      </c>
      <c r="X922">
        <v>2020</v>
      </c>
      <c r="Y922" t="s">
        <v>79</v>
      </c>
      <c r="Z922" t="s">
        <v>62</v>
      </c>
      <c r="AA922" t="s">
        <v>52</v>
      </c>
    </row>
    <row r="923" spans="1:27" x14ac:dyDescent="0.3">
      <c r="A923" t="s">
        <v>1042</v>
      </c>
      <c r="B923" t="s">
        <v>43</v>
      </c>
      <c r="C923">
        <v>24</v>
      </c>
      <c r="D923" t="s">
        <v>29</v>
      </c>
      <c r="E923" t="s">
        <v>122</v>
      </c>
      <c r="F923" t="s">
        <v>96</v>
      </c>
      <c r="G923">
        <v>131969</v>
      </c>
      <c r="H923" s="1">
        <v>46196</v>
      </c>
      <c r="I923" t="s">
        <v>47</v>
      </c>
      <c r="J923" t="s">
        <v>48</v>
      </c>
      <c r="K923" t="s">
        <v>34</v>
      </c>
      <c r="L923">
        <v>15</v>
      </c>
      <c r="M923">
        <v>1</v>
      </c>
      <c r="N923">
        <v>2</v>
      </c>
      <c r="O923" t="s">
        <v>35</v>
      </c>
      <c r="P923" t="s">
        <v>37</v>
      </c>
      <c r="Q923">
        <v>198</v>
      </c>
      <c r="R923">
        <v>25</v>
      </c>
      <c r="S923">
        <v>18</v>
      </c>
      <c r="T923" t="s">
        <v>36</v>
      </c>
      <c r="U923" t="s">
        <v>37</v>
      </c>
      <c r="V923" t="s">
        <v>36</v>
      </c>
      <c r="W923" t="s">
        <v>60</v>
      </c>
      <c r="X923">
        <v>2026</v>
      </c>
      <c r="Y923" t="s">
        <v>61</v>
      </c>
      <c r="Z923" t="s">
        <v>104</v>
      </c>
      <c r="AA923" t="s">
        <v>105</v>
      </c>
    </row>
    <row r="924" spans="1:27" x14ac:dyDescent="0.3">
      <c r="A924" t="s">
        <v>1043</v>
      </c>
      <c r="B924" t="s">
        <v>28</v>
      </c>
      <c r="C924">
        <v>32</v>
      </c>
      <c r="D924" t="s">
        <v>77</v>
      </c>
      <c r="E924" t="s">
        <v>138</v>
      </c>
      <c r="F924" t="s">
        <v>96</v>
      </c>
      <c r="G924">
        <v>141393</v>
      </c>
      <c r="H924" s="1">
        <v>46211</v>
      </c>
      <c r="I924" t="s">
        <v>57</v>
      </c>
      <c r="J924" t="s">
        <v>67</v>
      </c>
      <c r="K924" t="s">
        <v>58</v>
      </c>
      <c r="L924">
        <v>17</v>
      </c>
      <c r="M924">
        <v>4</v>
      </c>
      <c r="N924">
        <v>1</v>
      </c>
      <c r="O924" t="s">
        <v>59</v>
      </c>
      <c r="P924" t="s">
        <v>36</v>
      </c>
      <c r="Q924">
        <v>155</v>
      </c>
      <c r="R924">
        <v>19</v>
      </c>
      <c r="S924">
        <v>13</v>
      </c>
      <c r="T924" t="s">
        <v>36</v>
      </c>
      <c r="U924" t="s">
        <v>36</v>
      </c>
      <c r="V924" t="s">
        <v>36</v>
      </c>
      <c r="W924" t="s">
        <v>60</v>
      </c>
      <c r="X924">
        <v>2026</v>
      </c>
      <c r="Y924" t="s">
        <v>79</v>
      </c>
      <c r="Z924" t="s">
        <v>40</v>
      </c>
      <c r="AA924" t="s">
        <v>105</v>
      </c>
    </row>
    <row r="925" spans="1:27" x14ac:dyDescent="0.3">
      <c r="A925" t="s">
        <v>1044</v>
      </c>
      <c r="B925" t="s">
        <v>43</v>
      </c>
      <c r="C925">
        <v>27</v>
      </c>
      <c r="D925" t="s">
        <v>44</v>
      </c>
      <c r="E925" t="s">
        <v>115</v>
      </c>
      <c r="F925" t="s">
        <v>96</v>
      </c>
      <c r="G925">
        <v>127239</v>
      </c>
      <c r="H925" s="1">
        <v>45731</v>
      </c>
      <c r="I925" t="s">
        <v>47</v>
      </c>
      <c r="J925" t="s">
        <v>118</v>
      </c>
      <c r="K925" t="s">
        <v>58</v>
      </c>
      <c r="L925">
        <v>18</v>
      </c>
      <c r="M925">
        <v>5</v>
      </c>
      <c r="N925">
        <v>2</v>
      </c>
      <c r="O925" t="s">
        <v>50</v>
      </c>
      <c r="P925" t="s">
        <v>36</v>
      </c>
      <c r="Q925">
        <v>242</v>
      </c>
      <c r="R925">
        <v>10</v>
      </c>
      <c r="S925">
        <v>30</v>
      </c>
      <c r="T925" t="s">
        <v>36</v>
      </c>
      <c r="U925" t="s">
        <v>36</v>
      </c>
      <c r="V925" t="s">
        <v>36</v>
      </c>
      <c r="W925" t="s">
        <v>126</v>
      </c>
      <c r="X925">
        <v>2025</v>
      </c>
      <c r="Y925" t="s">
        <v>142</v>
      </c>
      <c r="Z925" t="s">
        <v>75</v>
      </c>
      <c r="AA925" t="s">
        <v>87</v>
      </c>
    </row>
    <row r="926" spans="1:27" x14ac:dyDescent="0.3">
      <c r="A926" t="s">
        <v>1045</v>
      </c>
      <c r="B926" t="s">
        <v>43</v>
      </c>
      <c r="C926">
        <v>40</v>
      </c>
      <c r="D926" t="s">
        <v>77</v>
      </c>
      <c r="E926" t="s">
        <v>133</v>
      </c>
      <c r="F926" t="s">
        <v>31</v>
      </c>
      <c r="G926">
        <v>65604</v>
      </c>
      <c r="H926" s="1">
        <v>45971</v>
      </c>
      <c r="I926" t="s">
        <v>47</v>
      </c>
      <c r="J926" t="s">
        <v>99</v>
      </c>
      <c r="K926" t="s">
        <v>58</v>
      </c>
      <c r="L926">
        <v>4</v>
      </c>
      <c r="M926">
        <v>4</v>
      </c>
      <c r="N926">
        <v>1</v>
      </c>
      <c r="O926" t="s">
        <v>50</v>
      </c>
      <c r="P926" t="s">
        <v>36</v>
      </c>
      <c r="Q926">
        <v>207</v>
      </c>
      <c r="R926">
        <v>18</v>
      </c>
      <c r="S926">
        <v>14</v>
      </c>
      <c r="T926" t="s">
        <v>37</v>
      </c>
      <c r="U926" t="s">
        <v>36</v>
      </c>
      <c r="V926" t="s">
        <v>36</v>
      </c>
      <c r="W926" t="s">
        <v>60</v>
      </c>
      <c r="X926">
        <v>2025</v>
      </c>
      <c r="Y926" t="s">
        <v>123</v>
      </c>
      <c r="Z926" t="s">
        <v>62</v>
      </c>
      <c r="AA926" t="s">
        <v>52</v>
      </c>
    </row>
    <row r="927" spans="1:27" x14ac:dyDescent="0.3">
      <c r="A927" t="s">
        <v>1046</v>
      </c>
      <c r="B927" t="s">
        <v>43</v>
      </c>
      <c r="C927">
        <v>21</v>
      </c>
      <c r="D927" t="s">
        <v>44</v>
      </c>
      <c r="E927" t="s">
        <v>45</v>
      </c>
      <c r="F927" t="s">
        <v>46</v>
      </c>
      <c r="G927">
        <v>100561</v>
      </c>
      <c r="H927" s="1">
        <v>43978</v>
      </c>
      <c r="I927" t="s">
        <v>47</v>
      </c>
      <c r="J927" t="s">
        <v>33</v>
      </c>
      <c r="K927" t="s">
        <v>34</v>
      </c>
      <c r="L927">
        <v>13</v>
      </c>
      <c r="M927">
        <v>1</v>
      </c>
      <c r="N927">
        <v>5</v>
      </c>
      <c r="O927" t="s">
        <v>35</v>
      </c>
      <c r="P927" t="s">
        <v>36</v>
      </c>
      <c r="Q927">
        <v>251</v>
      </c>
      <c r="R927">
        <v>60</v>
      </c>
      <c r="S927">
        <v>6</v>
      </c>
      <c r="T927" t="s">
        <v>36</v>
      </c>
      <c r="U927" t="s">
        <v>36</v>
      </c>
      <c r="V927" t="s">
        <v>36</v>
      </c>
      <c r="W927" t="s">
        <v>126</v>
      </c>
      <c r="X927">
        <v>2020</v>
      </c>
      <c r="Y927" t="s">
        <v>74</v>
      </c>
      <c r="Z927" t="s">
        <v>104</v>
      </c>
      <c r="AA927" t="s">
        <v>87</v>
      </c>
    </row>
    <row r="928" spans="1:27" x14ac:dyDescent="0.3">
      <c r="A928" t="s">
        <v>1047</v>
      </c>
      <c r="B928" t="s">
        <v>43</v>
      </c>
      <c r="C928">
        <v>28</v>
      </c>
      <c r="D928" t="s">
        <v>85</v>
      </c>
      <c r="E928" t="s">
        <v>159</v>
      </c>
      <c r="F928" t="s">
        <v>56</v>
      </c>
      <c r="G928">
        <v>41923</v>
      </c>
      <c r="H928" s="1">
        <v>46018</v>
      </c>
      <c r="I928" t="s">
        <v>57</v>
      </c>
      <c r="J928" t="s">
        <v>33</v>
      </c>
      <c r="K928" t="s">
        <v>49</v>
      </c>
      <c r="L928">
        <v>0</v>
      </c>
      <c r="M928">
        <v>1</v>
      </c>
      <c r="N928">
        <v>1</v>
      </c>
      <c r="O928" t="s">
        <v>68</v>
      </c>
      <c r="P928" t="s">
        <v>36</v>
      </c>
      <c r="Q928">
        <v>159</v>
      </c>
      <c r="R928">
        <v>31</v>
      </c>
      <c r="S928">
        <v>24</v>
      </c>
      <c r="T928" t="s">
        <v>36</v>
      </c>
      <c r="U928" t="s">
        <v>36</v>
      </c>
      <c r="V928" t="s">
        <v>36</v>
      </c>
      <c r="W928" t="s">
        <v>60</v>
      </c>
      <c r="X928">
        <v>2025</v>
      </c>
      <c r="Y928" t="s">
        <v>116</v>
      </c>
      <c r="Z928" t="s">
        <v>75</v>
      </c>
      <c r="AA928" t="s">
        <v>41</v>
      </c>
    </row>
    <row r="929" spans="1:27" x14ac:dyDescent="0.3">
      <c r="A929" t="s">
        <v>1048</v>
      </c>
      <c r="B929" t="s">
        <v>28</v>
      </c>
      <c r="C929">
        <v>34</v>
      </c>
      <c r="D929" t="s">
        <v>44</v>
      </c>
      <c r="E929" t="s">
        <v>45</v>
      </c>
      <c r="F929" t="s">
        <v>96</v>
      </c>
      <c r="G929">
        <v>90055</v>
      </c>
      <c r="H929" s="1">
        <v>44230</v>
      </c>
      <c r="I929" t="s">
        <v>57</v>
      </c>
      <c r="J929" t="s">
        <v>73</v>
      </c>
      <c r="K929" t="s">
        <v>49</v>
      </c>
      <c r="L929">
        <v>13</v>
      </c>
      <c r="M929">
        <v>2</v>
      </c>
      <c r="N929">
        <v>1</v>
      </c>
      <c r="O929" t="s">
        <v>50</v>
      </c>
      <c r="P929" t="s">
        <v>36</v>
      </c>
      <c r="Q929">
        <v>191</v>
      </c>
      <c r="R929">
        <v>43</v>
      </c>
      <c r="S929">
        <v>17</v>
      </c>
      <c r="T929" t="s">
        <v>37</v>
      </c>
      <c r="U929" t="s">
        <v>37</v>
      </c>
      <c r="V929" t="s">
        <v>36</v>
      </c>
      <c r="W929" t="s">
        <v>60</v>
      </c>
      <c r="X929">
        <v>2021</v>
      </c>
      <c r="Y929" t="s">
        <v>39</v>
      </c>
      <c r="Z929" t="s">
        <v>40</v>
      </c>
      <c r="AA929" t="s">
        <v>87</v>
      </c>
    </row>
    <row r="930" spans="1:27" x14ac:dyDescent="0.3">
      <c r="A930" t="s">
        <v>1049</v>
      </c>
      <c r="B930" t="s">
        <v>28</v>
      </c>
      <c r="C930">
        <v>42</v>
      </c>
      <c r="D930" t="s">
        <v>54</v>
      </c>
      <c r="E930" t="s">
        <v>55</v>
      </c>
      <c r="F930" t="s">
        <v>46</v>
      </c>
      <c r="G930">
        <v>107617</v>
      </c>
      <c r="H930" s="1">
        <v>44257</v>
      </c>
      <c r="I930" t="s">
        <v>57</v>
      </c>
      <c r="J930" t="s">
        <v>101</v>
      </c>
      <c r="K930" t="s">
        <v>34</v>
      </c>
      <c r="L930">
        <v>5</v>
      </c>
      <c r="M930">
        <v>3</v>
      </c>
      <c r="N930">
        <v>3</v>
      </c>
      <c r="O930" t="s">
        <v>59</v>
      </c>
      <c r="P930" t="s">
        <v>37</v>
      </c>
      <c r="Q930">
        <v>250</v>
      </c>
      <c r="R930">
        <v>13</v>
      </c>
      <c r="S930">
        <v>26</v>
      </c>
      <c r="T930" t="s">
        <v>36</v>
      </c>
      <c r="U930" t="s">
        <v>36</v>
      </c>
      <c r="V930" t="s">
        <v>36</v>
      </c>
      <c r="W930" t="s">
        <v>60</v>
      </c>
      <c r="X930">
        <v>2021</v>
      </c>
      <c r="Y930" t="s">
        <v>142</v>
      </c>
      <c r="Z930" t="s">
        <v>70</v>
      </c>
      <c r="AA930" t="s">
        <v>87</v>
      </c>
    </row>
    <row r="931" spans="1:27" x14ac:dyDescent="0.3">
      <c r="A931" t="s">
        <v>1050</v>
      </c>
      <c r="B931" t="s">
        <v>43</v>
      </c>
      <c r="C931">
        <v>31</v>
      </c>
      <c r="D931" t="s">
        <v>29</v>
      </c>
      <c r="E931" t="s">
        <v>103</v>
      </c>
      <c r="F931" t="s">
        <v>96</v>
      </c>
      <c r="G931">
        <v>150519</v>
      </c>
      <c r="H931" s="1">
        <v>44061</v>
      </c>
      <c r="I931" t="s">
        <v>57</v>
      </c>
      <c r="J931" t="s">
        <v>33</v>
      </c>
      <c r="K931" t="s">
        <v>49</v>
      </c>
      <c r="L931">
        <v>16</v>
      </c>
      <c r="M931">
        <v>1</v>
      </c>
      <c r="N931">
        <v>3</v>
      </c>
      <c r="O931" t="s">
        <v>68</v>
      </c>
      <c r="P931" t="s">
        <v>37</v>
      </c>
      <c r="Q931">
        <v>206</v>
      </c>
      <c r="R931">
        <v>55</v>
      </c>
      <c r="S931">
        <v>22</v>
      </c>
      <c r="T931" t="s">
        <v>36</v>
      </c>
      <c r="U931" t="s">
        <v>36</v>
      </c>
      <c r="V931" t="s">
        <v>36</v>
      </c>
      <c r="W931" t="s">
        <v>60</v>
      </c>
      <c r="X931">
        <v>2020</v>
      </c>
      <c r="Y931" t="s">
        <v>128</v>
      </c>
      <c r="Z931" t="s">
        <v>40</v>
      </c>
      <c r="AA931" t="s">
        <v>105</v>
      </c>
    </row>
    <row r="932" spans="1:27" x14ac:dyDescent="0.3">
      <c r="A932" t="s">
        <v>1051</v>
      </c>
      <c r="B932" t="s">
        <v>43</v>
      </c>
      <c r="C932">
        <v>28</v>
      </c>
      <c r="D932" t="s">
        <v>44</v>
      </c>
      <c r="E932" t="s">
        <v>45</v>
      </c>
      <c r="F932" t="s">
        <v>96</v>
      </c>
      <c r="G932">
        <v>130844</v>
      </c>
      <c r="H932" s="1">
        <v>45027</v>
      </c>
      <c r="I932" t="s">
        <v>98</v>
      </c>
      <c r="J932" t="s">
        <v>67</v>
      </c>
      <c r="K932" t="s">
        <v>49</v>
      </c>
      <c r="L932">
        <v>16</v>
      </c>
      <c r="M932">
        <v>5</v>
      </c>
      <c r="N932">
        <v>3</v>
      </c>
      <c r="O932" t="s">
        <v>35</v>
      </c>
      <c r="P932" t="s">
        <v>36</v>
      </c>
      <c r="Q932">
        <v>260</v>
      </c>
      <c r="R932">
        <v>19</v>
      </c>
      <c r="S932">
        <v>5</v>
      </c>
      <c r="T932" t="s">
        <v>36</v>
      </c>
      <c r="U932" t="s">
        <v>37</v>
      </c>
      <c r="V932" t="s">
        <v>36</v>
      </c>
      <c r="W932" t="s">
        <v>60</v>
      </c>
      <c r="X932">
        <v>2023</v>
      </c>
      <c r="Y932" t="s">
        <v>69</v>
      </c>
      <c r="Z932" t="s">
        <v>75</v>
      </c>
      <c r="AA932" t="s">
        <v>105</v>
      </c>
    </row>
    <row r="933" spans="1:27" x14ac:dyDescent="0.3">
      <c r="A933" t="s">
        <v>1052</v>
      </c>
      <c r="B933" t="s">
        <v>28</v>
      </c>
      <c r="C933">
        <v>45</v>
      </c>
      <c r="D933" t="s">
        <v>29</v>
      </c>
      <c r="E933" t="s">
        <v>122</v>
      </c>
      <c r="F933" t="s">
        <v>46</v>
      </c>
      <c r="G933">
        <v>81147</v>
      </c>
      <c r="H933" s="1">
        <v>43648</v>
      </c>
      <c r="I933" t="s">
        <v>57</v>
      </c>
      <c r="J933" t="s">
        <v>33</v>
      </c>
      <c r="K933" t="s">
        <v>34</v>
      </c>
      <c r="L933">
        <v>11</v>
      </c>
      <c r="M933">
        <v>3</v>
      </c>
      <c r="N933">
        <v>1</v>
      </c>
      <c r="O933" t="s">
        <v>59</v>
      </c>
      <c r="P933" t="s">
        <v>37</v>
      </c>
      <c r="Q933">
        <v>210</v>
      </c>
      <c r="R933">
        <v>31</v>
      </c>
      <c r="S933">
        <v>15</v>
      </c>
      <c r="T933" t="s">
        <v>36</v>
      </c>
      <c r="U933" t="s">
        <v>37</v>
      </c>
      <c r="V933" t="s">
        <v>36</v>
      </c>
      <c r="W933" t="s">
        <v>60</v>
      </c>
      <c r="X933">
        <v>2019</v>
      </c>
      <c r="Y933" t="s">
        <v>79</v>
      </c>
      <c r="Z933" t="s">
        <v>70</v>
      </c>
      <c r="AA933" t="s">
        <v>52</v>
      </c>
    </row>
    <row r="934" spans="1:27" x14ac:dyDescent="0.3">
      <c r="A934" t="s">
        <v>1053</v>
      </c>
      <c r="B934" t="s">
        <v>43</v>
      </c>
      <c r="C934">
        <v>21</v>
      </c>
      <c r="D934" t="s">
        <v>85</v>
      </c>
      <c r="E934" t="s">
        <v>86</v>
      </c>
      <c r="F934" t="s">
        <v>46</v>
      </c>
      <c r="G934">
        <v>86473</v>
      </c>
      <c r="H934" s="1">
        <v>45921</v>
      </c>
      <c r="I934" t="s">
        <v>98</v>
      </c>
      <c r="J934" t="s">
        <v>67</v>
      </c>
      <c r="K934" t="s">
        <v>58</v>
      </c>
      <c r="L934">
        <v>10</v>
      </c>
      <c r="M934">
        <v>1</v>
      </c>
      <c r="N934">
        <v>4</v>
      </c>
      <c r="O934" t="s">
        <v>50</v>
      </c>
      <c r="P934" t="s">
        <v>36</v>
      </c>
      <c r="Q934">
        <v>150</v>
      </c>
      <c r="R934">
        <v>72</v>
      </c>
      <c r="S934">
        <v>20</v>
      </c>
      <c r="T934" t="s">
        <v>36</v>
      </c>
      <c r="U934" t="s">
        <v>37</v>
      </c>
      <c r="V934" t="s">
        <v>37</v>
      </c>
      <c r="W934" t="s">
        <v>38</v>
      </c>
      <c r="X934">
        <v>2025</v>
      </c>
      <c r="Y934" t="s">
        <v>51</v>
      </c>
      <c r="Z934" t="s">
        <v>104</v>
      </c>
      <c r="AA934" t="s">
        <v>52</v>
      </c>
    </row>
    <row r="935" spans="1:27" x14ac:dyDescent="0.3">
      <c r="A935" t="s">
        <v>1054</v>
      </c>
      <c r="B935" t="s">
        <v>28</v>
      </c>
      <c r="C935">
        <v>21</v>
      </c>
      <c r="D935" t="s">
        <v>29</v>
      </c>
      <c r="E935" t="s">
        <v>30</v>
      </c>
      <c r="F935" t="s">
        <v>96</v>
      </c>
      <c r="G935">
        <v>139157</v>
      </c>
      <c r="H935" s="1">
        <v>44588</v>
      </c>
      <c r="I935" t="s">
        <v>107</v>
      </c>
      <c r="J935" t="s">
        <v>118</v>
      </c>
      <c r="K935" t="s">
        <v>49</v>
      </c>
      <c r="L935">
        <v>18</v>
      </c>
      <c r="M935">
        <v>5</v>
      </c>
      <c r="N935">
        <v>5</v>
      </c>
      <c r="O935" t="s">
        <v>68</v>
      </c>
      <c r="P935" t="s">
        <v>36</v>
      </c>
      <c r="Q935">
        <v>205</v>
      </c>
      <c r="R935">
        <v>6</v>
      </c>
      <c r="S935">
        <v>28</v>
      </c>
      <c r="T935" t="s">
        <v>36</v>
      </c>
      <c r="U935" t="s">
        <v>36</v>
      </c>
      <c r="V935" t="s">
        <v>36</v>
      </c>
      <c r="W935" t="s">
        <v>60</v>
      </c>
      <c r="X935">
        <v>2022</v>
      </c>
      <c r="Y935" t="s">
        <v>94</v>
      </c>
      <c r="Z935" t="s">
        <v>104</v>
      </c>
      <c r="AA935" t="s">
        <v>105</v>
      </c>
    </row>
    <row r="936" spans="1:27" x14ac:dyDescent="0.3">
      <c r="A936" t="s">
        <v>1055</v>
      </c>
      <c r="B936" t="s">
        <v>43</v>
      </c>
      <c r="C936">
        <v>35</v>
      </c>
      <c r="D936" t="s">
        <v>65</v>
      </c>
      <c r="E936" t="s">
        <v>72</v>
      </c>
      <c r="F936" t="s">
        <v>96</v>
      </c>
      <c r="G936">
        <v>134553</v>
      </c>
      <c r="H936" s="1">
        <v>43585</v>
      </c>
      <c r="I936" t="s">
        <v>32</v>
      </c>
      <c r="J936" t="s">
        <v>99</v>
      </c>
      <c r="K936" t="s">
        <v>49</v>
      </c>
      <c r="L936">
        <v>16</v>
      </c>
      <c r="M936">
        <v>5</v>
      </c>
      <c r="N936">
        <v>4</v>
      </c>
      <c r="O936" t="s">
        <v>68</v>
      </c>
      <c r="P936" t="s">
        <v>36</v>
      </c>
      <c r="Q936">
        <v>248</v>
      </c>
      <c r="R936">
        <v>36</v>
      </c>
      <c r="S936">
        <v>29</v>
      </c>
      <c r="T936" t="s">
        <v>36</v>
      </c>
      <c r="U936" t="s">
        <v>36</v>
      </c>
      <c r="V936" t="s">
        <v>36</v>
      </c>
      <c r="W936" t="s">
        <v>60</v>
      </c>
      <c r="X936">
        <v>2019</v>
      </c>
      <c r="Y936" t="s">
        <v>69</v>
      </c>
      <c r="Z936" t="s">
        <v>40</v>
      </c>
      <c r="AA936" t="s">
        <v>105</v>
      </c>
    </row>
    <row r="937" spans="1:27" x14ac:dyDescent="0.3">
      <c r="A937" t="s">
        <v>1056</v>
      </c>
      <c r="B937" t="s">
        <v>43</v>
      </c>
      <c r="C937">
        <v>28</v>
      </c>
      <c r="D937" t="s">
        <v>77</v>
      </c>
      <c r="E937" t="s">
        <v>138</v>
      </c>
      <c r="F937" t="s">
        <v>31</v>
      </c>
      <c r="G937">
        <v>67245</v>
      </c>
      <c r="H937" s="1">
        <v>44844</v>
      </c>
      <c r="I937" t="s">
        <v>107</v>
      </c>
      <c r="J937" t="s">
        <v>33</v>
      </c>
      <c r="K937" t="s">
        <v>58</v>
      </c>
      <c r="L937">
        <v>5</v>
      </c>
      <c r="M937">
        <v>3</v>
      </c>
      <c r="N937">
        <v>1</v>
      </c>
      <c r="O937" t="s">
        <v>35</v>
      </c>
      <c r="P937" t="s">
        <v>37</v>
      </c>
      <c r="Q937">
        <v>200</v>
      </c>
      <c r="R937">
        <v>59</v>
      </c>
      <c r="S937">
        <v>7</v>
      </c>
      <c r="T937" t="s">
        <v>37</v>
      </c>
      <c r="U937" t="s">
        <v>36</v>
      </c>
      <c r="V937" t="s">
        <v>36</v>
      </c>
      <c r="W937" t="s">
        <v>60</v>
      </c>
      <c r="X937">
        <v>2022</v>
      </c>
      <c r="Y937" t="s">
        <v>83</v>
      </c>
      <c r="Z937" t="s">
        <v>75</v>
      </c>
      <c r="AA937" t="s">
        <v>52</v>
      </c>
    </row>
    <row r="938" spans="1:27" x14ac:dyDescent="0.3">
      <c r="A938" t="s">
        <v>1057</v>
      </c>
      <c r="B938" t="s">
        <v>28</v>
      </c>
      <c r="C938">
        <v>24</v>
      </c>
      <c r="D938" t="s">
        <v>85</v>
      </c>
      <c r="E938" t="s">
        <v>151</v>
      </c>
      <c r="F938" t="s">
        <v>31</v>
      </c>
      <c r="G938">
        <v>66970</v>
      </c>
      <c r="H938" s="1">
        <v>45219</v>
      </c>
      <c r="I938" t="s">
        <v>98</v>
      </c>
      <c r="J938" t="s">
        <v>48</v>
      </c>
      <c r="K938" t="s">
        <v>49</v>
      </c>
      <c r="L938">
        <v>5</v>
      </c>
      <c r="M938">
        <v>4</v>
      </c>
      <c r="N938">
        <v>4</v>
      </c>
      <c r="O938" t="s">
        <v>35</v>
      </c>
      <c r="P938" t="s">
        <v>36</v>
      </c>
      <c r="Q938">
        <v>201</v>
      </c>
      <c r="R938">
        <v>18</v>
      </c>
      <c r="S938">
        <v>4</v>
      </c>
      <c r="T938" t="s">
        <v>37</v>
      </c>
      <c r="U938" t="s">
        <v>36</v>
      </c>
      <c r="V938" t="s">
        <v>36</v>
      </c>
      <c r="W938" t="s">
        <v>60</v>
      </c>
      <c r="X938">
        <v>2023</v>
      </c>
      <c r="Y938" t="s">
        <v>83</v>
      </c>
      <c r="Z938" t="s">
        <v>104</v>
      </c>
      <c r="AA938" t="s">
        <v>52</v>
      </c>
    </row>
    <row r="939" spans="1:27" x14ac:dyDescent="0.3">
      <c r="A939" t="s">
        <v>1058</v>
      </c>
      <c r="B939" t="s">
        <v>28</v>
      </c>
      <c r="C939">
        <v>36</v>
      </c>
      <c r="D939" t="s">
        <v>54</v>
      </c>
      <c r="E939" t="s">
        <v>207</v>
      </c>
      <c r="F939" t="s">
        <v>46</v>
      </c>
      <c r="G939">
        <v>99957</v>
      </c>
      <c r="H939" s="1">
        <v>46085</v>
      </c>
      <c r="I939" t="s">
        <v>98</v>
      </c>
      <c r="J939" t="s">
        <v>118</v>
      </c>
      <c r="K939" t="s">
        <v>49</v>
      </c>
      <c r="L939">
        <v>13</v>
      </c>
      <c r="M939">
        <v>4</v>
      </c>
      <c r="N939">
        <v>1</v>
      </c>
      <c r="O939" t="s">
        <v>59</v>
      </c>
      <c r="P939" t="s">
        <v>37</v>
      </c>
      <c r="Q939">
        <v>247</v>
      </c>
      <c r="R939">
        <v>76</v>
      </c>
      <c r="S939">
        <v>6</v>
      </c>
      <c r="T939" t="s">
        <v>37</v>
      </c>
      <c r="U939" t="s">
        <v>37</v>
      </c>
      <c r="V939" t="s">
        <v>37</v>
      </c>
      <c r="W939" t="s">
        <v>38</v>
      </c>
      <c r="X939">
        <v>2026</v>
      </c>
      <c r="Y939" t="s">
        <v>142</v>
      </c>
      <c r="Z939" t="s">
        <v>62</v>
      </c>
      <c r="AA939" t="s">
        <v>87</v>
      </c>
    </row>
    <row r="940" spans="1:27" x14ac:dyDescent="0.3">
      <c r="A940" t="s">
        <v>1059</v>
      </c>
      <c r="B940" t="s">
        <v>28</v>
      </c>
      <c r="C940">
        <v>33</v>
      </c>
      <c r="D940" t="s">
        <v>85</v>
      </c>
      <c r="E940" t="s">
        <v>151</v>
      </c>
      <c r="F940" t="s">
        <v>96</v>
      </c>
      <c r="G940">
        <v>91785</v>
      </c>
      <c r="H940" s="1">
        <v>44585</v>
      </c>
      <c r="I940" t="s">
        <v>47</v>
      </c>
      <c r="J940" t="s">
        <v>48</v>
      </c>
      <c r="K940" t="s">
        <v>58</v>
      </c>
      <c r="L940">
        <v>20</v>
      </c>
      <c r="M940">
        <v>4</v>
      </c>
      <c r="N940">
        <v>2</v>
      </c>
      <c r="O940" t="s">
        <v>35</v>
      </c>
      <c r="P940" t="s">
        <v>36</v>
      </c>
      <c r="Q940">
        <v>202</v>
      </c>
      <c r="R940">
        <v>26</v>
      </c>
      <c r="S940">
        <v>3</v>
      </c>
      <c r="T940" t="s">
        <v>37</v>
      </c>
      <c r="U940" t="s">
        <v>36</v>
      </c>
      <c r="V940" t="s">
        <v>36</v>
      </c>
      <c r="W940" t="s">
        <v>60</v>
      </c>
      <c r="X940">
        <v>2022</v>
      </c>
      <c r="Y940" t="s">
        <v>94</v>
      </c>
      <c r="Z940" t="s">
        <v>40</v>
      </c>
      <c r="AA940" t="s">
        <v>87</v>
      </c>
    </row>
    <row r="941" spans="1:27" x14ac:dyDescent="0.3">
      <c r="A941" t="s">
        <v>1060</v>
      </c>
      <c r="B941" t="s">
        <v>28</v>
      </c>
      <c r="C941">
        <v>28</v>
      </c>
      <c r="D941" t="s">
        <v>89</v>
      </c>
      <c r="E941" t="s">
        <v>144</v>
      </c>
      <c r="F941" t="s">
        <v>31</v>
      </c>
      <c r="G941">
        <v>56092</v>
      </c>
      <c r="H941" s="1">
        <v>45877</v>
      </c>
      <c r="I941" t="s">
        <v>32</v>
      </c>
      <c r="J941" t="s">
        <v>91</v>
      </c>
      <c r="K941" t="s">
        <v>49</v>
      </c>
      <c r="L941">
        <v>4</v>
      </c>
      <c r="M941">
        <v>4</v>
      </c>
      <c r="N941">
        <v>5</v>
      </c>
      <c r="O941" t="s">
        <v>68</v>
      </c>
      <c r="P941" t="s">
        <v>37</v>
      </c>
      <c r="Q941">
        <v>209</v>
      </c>
      <c r="R941">
        <v>44</v>
      </c>
      <c r="S941">
        <v>6</v>
      </c>
      <c r="T941" t="s">
        <v>37</v>
      </c>
      <c r="U941" t="s">
        <v>36</v>
      </c>
      <c r="V941" t="s">
        <v>36</v>
      </c>
      <c r="W941" t="s">
        <v>60</v>
      </c>
      <c r="X941">
        <v>2025</v>
      </c>
      <c r="Y941" t="s">
        <v>128</v>
      </c>
      <c r="Z941" t="s">
        <v>75</v>
      </c>
      <c r="AA941" t="s">
        <v>41</v>
      </c>
    </row>
    <row r="942" spans="1:27" x14ac:dyDescent="0.3">
      <c r="A942" t="s">
        <v>1061</v>
      </c>
      <c r="B942" t="s">
        <v>43</v>
      </c>
      <c r="C942">
        <v>23</v>
      </c>
      <c r="D942" t="s">
        <v>81</v>
      </c>
      <c r="E942" t="s">
        <v>82</v>
      </c>
      <c r="F942" t="s">
        <v>46</v>
      </c>
      <c r="G942">
        <v>68089</v>
      </c>
      <c r="H942" s="1">
        <v>46234</v>
      </c>
      <c r="I942" t="s">
        <v>47</v>
      </c>
      <c r="J942" t="s">
        <v>91</v>
      </c>
      <c r="K942" t="s">
        <v>34</v>
      </c>
      <c r="L942">
        <v>5</v>
      </c>
      <c r="M942">
        <v>4</v>
      </c>
      <c r="N942">
        <v>3</v>
      </c>
      <c r="O942" t="s">
        <v>68</v>
      </c>
      <c r="P942" t="s">
        <v>36</v>
      </c>
      <c r="Q942">
        <v>233</v>
      </c>
      <c r="R942">
        <v>30</v>
      </c>
      <c r="S942">
        <v>29</v>
      </c>
      <c r="T942" t="s">
        <v>37</v>
      </c>
      <c r="U942" t="s">
        <v>36</v>
      </c>
      <c r="V942" t="s">
        <v>36</v>
      </c>
      <c r="W942" t="s">
        <v>60</v>
      </c>
      <c r="X942">
        <v>2026</v>
      </c>
      <c r="Y942" t="s">
        <v>79</v>
      </c>
      <c r="Z942" t="s">
        <v>104</v>
      </c>
      <c r="AA942" t="s">
        <v>52</v>
      </c>
    </row>
    <row r="943" spans="1:27" x14ac:dyDescent="0.3">
      <c r="A943" t="s">
        <v>1062</v>
      </c>
      <c r="B943" t="s">
        <v>28</v>
      </c>
      <c r="C943">
        <v>38</v>
      </c>
      <c r="D943" t="s">
        <v>44</v>
      </c>
      <c r="E943" t="s">
        <v>115</v>
      </c>
      <c r="F943" t="s">
        <v>96</v>
      </c>
      <c r="G943">
        <v>127416</v>
      </c>
      <c r="H943" s="1">
        <v>45666</v>
      </c>
      <c r="I943" t="s">
        <v>47</v>
      </c>
      <c r="J943" t="s">
        <v>33</v>
      </c>
      <c r="K943" t="s">
        <v>58</v>
      </c>
      <c r="L943">
        <v>20</v>
      </c>
      <c r="M943">
        <v>5</v>
      </c>
      <c r="N943">
        <v>4</v>
      </c>
      <c r="O943" t="s">
        <v>50</v>
      </c>
      <c r="P943" t="s">
        <v>36</v>
      </c>
      <c r="Q943">
        <v>229</v>
      </c>
      <c r="R943">
        <v>26</v>
      </c>
      <c r="S943">
        <v>17</v>
      </c>
      <c r="T943" t="s">
        <v>37</v>
      </c>
      <c r="U943" t="s">
        <v>37</v>
      </c>
      <c r="V943" t="s">
        <v>36</v>
      </c>
      <c r="W943" t="s">
        <v>60</v>
      </c>
      <c r="X943">
        <v>2025</v>
      </c>
      <c r="Y943" t="s">
        <v>94</v>
      </c>
      <c r="Z943" t="s">
        <v>62</v>
      </c>
      <c r="AA943" t="s">
        <v>87</v>
      </c>
    </row>
    <row r="944" spans="1:27" x14ac:dyDescent="0.3">
      <c r="A944" t="s">
        <v>1063</v>
      </c>
      <c r="B944" t="s">
        <v>28</v>
      </c>
      <c r="C944">
        <v>36</v>
      </c>
      <c r="D944" t="s">
        <v>77</v>
      </c>
      <c r="E944" t="s">
        <v>138</v>
      </c>
      <c r="F944" t="s">
        <v>56</v>
      </c>
      <c r="G944">
        <v>43556</v>
      </c>
      <c r="H944" s="1">
        <v>43517</v>
      </c>
      <c r="I944" t="s">
        <v>57</v>
      </c>
      <c r="J944" t="s">
        <v>67</v>
      </c>
      <c r="K944" t="s">
        <v>49</v>
      </c>
      <c r="L944">
        <v>2</v>
      </c>
      <c r="M944">
        <v>5</v>
      </c>
      <c r="N944">
        <v>1</v>
      </c>
      <c r="O944" t="s">
        <v>68</v>
      </c>
      <c r="P944" t="s">
        <v>37</v>
      </c>
      <c r="Q944">
        <v>227</v>
      </c>
      <c r="R944">
        <v>9</v>
      </c>
      <c r="S944">
        <v>14</v>
      </c>
      <c r="T944" t="s">
        <v>36</v>
      </c>
      <c r="U944" t="s">
        <v>36</v>
      </c>
      <c r="V944" t="s">
        <v>36</v>
      </c>
      <c r="W944" t="s">
        <v>60</v>
      </c>
      <c r="X944">
        <v>2019</v>
      </c>
      <c r="Y944" t="s">
        <v>39</v>
      </c>
      <c r="Z944" t="s">
        <v>62</v>
      </c>
      <c r="AA944" t="s">
        <v>41</v>
      </c>
    </row>
    <row r="945" spans="1:27" x14ac:dyDescent="0.3">
      <c r="A945" t="s">
        <v>1064</v>
      </c>
      <c r="B945" t="s">
        <v>43</v>
      </c>
      <c r="C945">
        <v>31</v>
      </c>
      <c r="D945" t="s">
        <v>85</v>
      </c>
      <c r="E945" t="s">
        <v>151</v>
      </c>
      <c r="F945" t="s">
        <v>31</v>
      </c>
      <c r="G945">
        <v>52846</v>
      </c>
      <c r="H945" s="1">
        <v>44717</v>
      </c>
      <c r="I945" t="s">
        <v>47</v>
      </c>
      <c r="J945" t="s">
        <v>101</v>
      </c>
      <c r="K945" t="s">
        <v>49</v>
      </c>
      <c r="L945">
        <v>3</v>
      </c>
      <c r="M945">
        <v>1</v>
      </c>
      <c r="N945">
        <v>1</v>
      </c>
      <c r="O945" t="s">
        <v>50</v>
      </c>
      <c r="P945" t="s">
        <v>36</v>
      </c>
      <c r="Q945">
        <v>250</v>
      </c>
      <c r="R945">
        <v>70</v>
      </c>
      <c r="S945">
        <v>30</v>
      </c>
      <c r="T945" t="s">
        <v>37</v>
      </c>
      <c r="U945" t="s">
        <v>37</v>
      </c>
      <c r="V945" t="s">
        <v>36</v>
      </c>
      <c r="W945" t="s">
        <v>126</v>
      </c>
      <c r="X945">
        <v>2022</v>
      </c>
      <c r="Y945" t="s">
        <v>61</v>
      </c>
      <c r="Z945" t="s">
        <v>40</v>
      </c>
      <c r="AA945" t="s">
        <v>41</v>
      </c>
    </row>
    <row r="946" spans="1:27" x14ac:dyDescent="0.3">
      <c r="A946" t="s">
        <v>1065</v>
      </c>
      <c r="B946" t="s">
        <v>43</v>
      </c>
      <c r="C946">
        <v>44</v>
      </c>
      <c r="D946" t="s">
        <v>85</v>
      </c>
      <c r="E946" t="s">
        <v>151</v>
      </c>
      <c r="F946" t="s">
        <v>46</v>
      </c>
      <c r="G946">
        <v>81671</v>
      </c>
      <c r="H946" s="1">
        <v>44537</v>
      </c>
      <c r="I946" t="s">
        <v>107</v>
      </c>
      <c r="J946" t="s">
        <v>48</v>
      </c>
      <c r="K946" t="s">
        <v>49</v>
      </c>
      <c r="L946">
        <v>10</v>
      </c>
      <c r="M946">
        <v>3</v>
      </c>
      <c r="N946">
        <v>4</v>
      </c>
      <c r="O946" t="s">
        <v>68</v>
      </c>
      <c r="P946" t="s">
        <v>37</v>
      </c>
      <c r="Q946">
        <v>255</v>
      </c>
      <c r="R946">
        <v>62</v>
      </c>
      <c r="S946">
        <v>24</v>
      </c>
      <c r="T946" t="s">
        <v>36</v>
      </c>
      <c r="U946" t="s">
        <v>36</v>
      </c>
      <c r="V946" t="s">
        <v>36</v>
      </c>
      <c r="W946" t="s">
        <v>60</v>
      </c>
      <c r="X946">
        <v>2021</v>
      </c>
      <c r="Y946" t="s">
        <v>116</v>
      </c>
      <c r="Z946" t="s">
        <v>70</v>
      </c>
      <c r="AA946" t="s">
        <v>52</v>
      </c>
    </row>
    <row r="947" spans="1:27" x14ac:dyDescent="0.3">
      <c r="A947" t="s">
        <v>1066</v>
      </c>
      <c r="B947" t="s">
        <v>28</v>
      </c>
      <c r="C947">
        <v>24</v>
      </c>
      <c r="D947" t="s">
        <v>65</v>
      </c>
      <c r="E947" t="s">
        <v>147</v>
      </c>
      <c r="F947" t="s">
        <v>56</v>
      </c>
      <c r="G947">
        <v>32819</v>
      </c>
      <c r="H947" s="1">
        <v>45523</v>
      </c>
      <c r="I947" t="s">
        <v>98</v>
      </c>
      <c r="J947" t="s">
        <v>118</v>
      </c>
      <c r="K947" t="s">
        <v>34</v>
      </c>
      <c r="L947">
        <v>3</v>
      </c>
      <c r="M947">
        <v>5</v>
      </c>
      <c r="N947">
        <v>3</v>
      </c>
      <c r="O947" t="s">
        <v>68</v>
      </c>
      <c r="P947" t="s">
        <v>36</v>
      </c>
      <c r="Q947">
        <v>244</v>
      </c>
      <c r="R947">
        <v>12</v>
      </c>
      <c r="S947">
        <v>11</v>
      </c>
      <c r="T947" t="s">
        <v>36</v>
      </c>
      <c r="U947" t="s">
        <v>36</v>
      </c>
      <c r="V947" t="s">
        <v>36</v>
      </c>
      <c r="W947" t="s">
        <v>126</v>
      </c>
      <c r="X947">
        <v>2024</v>
      </c>
      <c r="Y947" t="s">
        <v>128</v>
      </c>
      <c r="Z947" t="s">
        <v>104</v>
      </c>
      <c r="AA947" t="s">
        <v>63</v>
      </c>
    </row>
    <row r="948" spans="1:27" x14ac:dyDescent="0.3">
      <c r="A948" t="s">
        <v>1067</v>
      </c>
      <c r="B948" t="s">
        <v>28</v>
      </c>
      <c r="C948">
        <v>21</v>
      </c>
      <c r="D948" t="s">
        <v>89</v>
      </c>
      <c r="E948" t="s">
        <v>203</v>
      </c>
      <c r="F948" t="s">
        <v>46</v>
      </c>
      <c r="G948">
        <v>94452</v>
      </c>
      <c r="H948" s="1">
        <v>44505</v>
      </c>
      <c r="I948" t="s">
        <v>98</v>
      </c>
      <c r="J948" t="s">
        <v>118</v>
      </c>
      <c r="K948" t="s">
        <v>34</v>
      </c>
      <c r="L948">
        <v>7</v>
      </c>
      <c r="M948">
        <v>4</v>
      </c>
      <c r="N948">
        <v>2</v>
      </c>
      <c r="O948" t="s">
        <v>50</v>
      </c>
      <c r="P948" t="s">
        <v>37</v>
      </c>
      <c r="Q948">
        <v>253</v>
      </c>
      <c r="R948">
        <v>27</v>
      </c>
      <c r="S948">
        <v>10</v>
      </c>
      <c r="T948" t="s">
        <v>37</v>
      </c>
      <c r="U948" t="s">
        <v>37</v>
      </c>
      <c r="V948" t="s">
        <v>36</v>
      </c>
      <c r="W948" t="s">
        <v>60</v>
      </c>
      <c r="X948">
        <v>2021</v>
      </c>
      <c r="Y948" t="s">
        <v>123</v>
      </c>
      <c r="Z948" t="s">
        <v>104</v>
      </c>
      <c r="AA948" t="s">
        <v>87</v>
      </c>
    </row>
    <row r="949" spans="1:27" x14ac:dyDescent="0.3">
      <c r="A949" t="s">
        <v>1068</v>
      </c>
      <c r="B949" t="s">
        <v>28</v>
      </c>
      <c r="C949">
        <v>27</v>
      </c>
      <c r="D949" t="s">
        <v>89</v>
      </c>
      <c r="E949" t="s">
        <v>90</v>
      </c>
      <c r="F949" t="s">
        <v>31</v>
      </c>
      <c r="G949">
        <v>49807</v>
      </c>
      <c r="H949" s="1">
        <v>43888</v>
      </c>
      <c r="I949" t="s">
        <v>32</v>
      </c>
      <c r="J949" t="s">
        <v>33</v>
      </c>
      <c r="K949" t="s">
        <v>58</v>
      </c>
      <c r="L949">
        <v>6</v>
      </c>
      <c r="M949">
        <v>2</v>
      </c>
      <c r="N949">
        <v>1</v>
      </c>
      <c r="O949" t="s">
        <v>35</v>
      </c>
      <c r="P949" t="s">
        <v>36</v>
      </c>
      <c r="Q949">
        <v>234</v>
      </c>
      <c r="R949">
        <v>78</v>
      </c>
      <c r="S949">
        <v>19</v>
      </c>
      <c r="T949" t="s">
        <v>37</v>
      </c>
      <c r="U949" t="s">
        <v>36</v>
      </c>
      <c r="V949" t="s">
        <v>37</v>
      </c>
      <c r="W949" t="s">
        <v>38</v>
      </c>
      <c r="X949">
        <v>2020</v>
      </c>
      <c r="Y949" t="s">
        <v>39</v>
      </c>
      <c r="Z949" t="s">
        <v>75</v>
      </c>
      <c r="AA949" t="s">
        <v>41</v>
      </c>
    </row>
    <row r="950" spans="1:27" x14ac:dyDescent="0.3">
      <c r="A950" t="s">
        <v>1069</v>
      </c>
      <c r="B950" t="s">
        <v>28</v>
      </c>
      <c r="C950">
        <v>31</v>
      </c>
      <c r="D950" t="s">
        <v>85</v>
      </c>
      <c r="E950" t="s">
        <v>86</v>
      </c>
      <c r="F950" t="s">
        <v>56</v>
      </c>
      <c r="G950">
        <v>31832</v>
      </c>
      <c r="H950" s="1">
        <v>44224</v>
      </c>
      <c r="I950" t="s">
        <v>47</v>
      </c>
      <c r="J950" t="s">
        <v>101</v>
      </c>
      <c r="K950" t="s">
        <v>49</v>
      </c>
      <c r="L950">
        <v>0</v>
      </c>
      <c r="M950">
        <v>2</v>
      </c>
      <c r="N950">
        <v>2</v>
      </c>
      <c r="O950" t="s">
        <v>59</v>
      </c>
      <c r="P950" t="s">
        <v>37</v>
      </c>
      <c r="Q950">
        <v>152</v>
      </c>
      <c r="R950">
        <v>19</v>
      </c>
      <c r="S950">
        <v>3</v>
      </c>
      <c r="T950" t="s">
        <v>37</v>
      </c>
      <c r="U950" t="s">
        <v>37</v>
      </c>
      <c r="V950" t="s">
        <v>36</v>
      </c>
      <c r="W950" t="s">
        <v>126</v>
      </c>
      <c r="X950">
        <v>2021</v>
      </c>
      <c r="Y950" t="s">
        <v>94</v>
      </c>
      <c r="Z950" t="s">
        <v>40</v>
      </c>
      <c r="AA950" t="s">
        <v>63</v>
      </c>
    </row>
    <row r="951" spans="1:27" x14ac:dyDescent="0.3">
      <c r="A951" t="s">
        <v>1070</v>
      </c>
      <c r="B951" t="s">
        <v>43</v>
      </c>
      <c r="C951">
        <v>33</v>
      </c>
      <c r="D951" t="s">
        <v>54</v>
      </c>
      <c r="E951" t="s">
        <v>153</v>
      </c>
      <c r="F951" t="s">
        <v>56</v>
      </c>
      <c r="G951">
        <v>37682</v>
      </c>
      <c r="H951" s="1">
        <v>44992</v>
      </c>
      <c r="I951" t="s">
        <v>107</v>
      </c>
      <c r="J951" t="s">
        <v>91</v>
      </c>
      <c r="K951" t="s">
        <v>34</v>
      </c>
      <c r="L951">
        <v>1</v>
      </c>
      <c r="M951">
        <v>4</v>
      </c>
      <c r="N951">
        <v>1</v>
      </c>
      <c r="O951" t="s">
        <v>68</v>
      </c>
      <c r="P951" t="s">
        <v>36</v>
      </c>
      <c r="Q951">
        <v>157</v>
      </c>
      <c r="R951">
        <v>15</v>
      </c>
      <c r="S951">
        <v>20</v>
      </c>
      <c r="T951" t="s">
        <v>36</v>
      </c>
      <c r="U951" t="s">
        <v>36</v>
      </c>
      <c r="V951" t="s">
        <v>36</v>
      </c>
      <c r="W951" t="s">
        <v>60</v>
      </c>
      <c r="X951">
        <v>2023</v>
      </c>
      <c r="Y951" t="s">
        <v>142</v>
      </c>
      <c r="Z951" t="s">
        <v>40</v>
      </c>
      <c r="AA951" t="s">
        <v>63</v>
      </c>
    </row>
    <row r="952" spans="1:27" x14ac:dyDescent="0.3">
      <c r="A952" t="s">
        <v>1071</v>
      </c>
      <c r="B952" t="s">
        <v>43</v>
      </c>
      <c r="C952">
        <v>30</v>
      </c>
      <c r="D952" t="s">
        <v>81</v>
      </c>
      <c r="E952" t="s">
        <v>165</v>
      </c>
      <c r="F952" t="s">
        <v>31</v>
      </c>
      <c r="G952">
        <v>48389</v>
      </c>
      <c r="H952" s="1">
        <v>44733</v>
      </c>
      <c r="I952" t="s">
        <v>32</v>
      </c>
      <c r="J952" t="s">
        <v>99</v>
      </c>
      <c r="K952" t="s">
        <v>49</v>
      </c>
      <c r="L952">
        <v>4</v>
      </c>
      <c r="M952">
        <v>4</v>
      </c>
      <c r="N952">
        <v>5</v>
      </c>
      <c r="O952" t="s">
        <v>59</v>
      </c>
      <c r="P952" t="s">
        <v>36</v>
      </c>
      <c r="Q952">
        <v>256</v>
      </c>
      <c r="R952">
        <v>28</v>
      </c>
      <c r="S952">
        <v>2</v>
      </c>
      <c r="T952" t="s">
        <v>36</v>
      </c>
      <c r="U952" t="s">
        <v>37</v>
      </c>
      <c r="V952" t="s">
        <v>37</v>
      </c>
      <c r="W952" t="s">
        <v>38</v>
      </c>
      <c r="X952">
        <v>2022</v>
      </c>
      <c r="Y952" t="s">
        <v>61</v>
      </c>
      <c r="Z952" t="s">
        <v>75</v>
      </c>
      <c r="AA952" t="s">
        <v>41</v>
      </c>
    </row>
    <row r="953" spans="1:27" x14ac:dyDescent="0.3">
      <c r="A953" t="s">
        <v>1072</v>
      </c>
      <c r="B953" t="s">
        <v>43</v>
      </c>
      <c r="C953">
        <v>34</v>
      </c>
      <c r="D953" t="s">
        <v>65</v>
      </c>
      <c r="E953" t="s">
        <v>72</v>
      </c>
      <c r="F953" t="s">
        <v>96</v>
      </c>
      <c r="G953">
        <v>99769</v>
      </c>
      <c r="H953" s="1">
        <v>43546</v>
      </c>
      <c r="I953" t="s">
        <v>57</v>
      </c>
      <c r="J953" t="s">
        <v>48</v>
      </c>
      <c r="K953" t="s">
        <v>58</v>
      </c>
      <c r="L953">
        <v>13</v>
      </c>
      <c r="M953">
        <v>1</v>
      </c>
      <c r="N953">
        <v>4</v>
      </c>
      <c r="O953" t="s">
        <v>59</v>
      </c>
      <c r="P953" t="s">
        <v>36</v>
      </c>
      <c r="Q953">
        <v>235</v>
      </c>
      <c r="R953">
        <v>52</v>
      </c>
      <c r="S953">
        <v>11</v>
      </c>
      <c r="T953" t="s">
        <v>37</v>
      </c>
      <c r="U953" t="s">
        <v>36</v>
      </c>
      <c r="V953" t="s">
        <v>36</v>
      </c>
      <c r="W953" t="s">
        <v>60</v>
      </c>
      <c r="X953">
        <v>2019</v>
      </c>
      <c r="Y953" t="s">
        <v>142</v>
      </c>
      <c r="Z953" t="s">
        <v>40</v>
      </c>
      <c r="AA953" t="s">
        <v>87</v>
      </c>
    </row>
    <row r="954" spans="1:27" x14ac:dyDescent="0.3">
      <c r="A954" t="s">
        <v>1073</v>
      </c>
      <c r="B954" t="s">
        <v>28</v>
      </c>
      <c r="C954">
        <v>23</v>
      </c>
      <c r="D954" t="s">
        <v>81</v>
      </c>
      <c r="E954" t="s">
        <v>201</v>
      </c>
      <c r="F954" t="s">
        <v>96</v>
      </c>
      <c r="G954">
        <v>132458</v>
      </c>
      <c r="H954" s="1">
        <v>45099</v>
      </c>
      <c r="I954" t="s">
        <v>98</v>
      </c>
      <c r="J954" t="s">
        <v>99</v>
      </c>
      <c r="K954" t="s">
        <v>49</v>
      </c>
      <c r="L954">
        <v>9</v>
      </c>
      <c r="M954">
        <v>5</v>
      </c>
      <c r="N954">
        <v>5</v>
      </c>
      <c r="O954" t="s">
        <v>68</v>
      </c>
      <c r="P954" t="s">
        <v>36</v>
      </c>
      <c r="Q954">
        <v>248</v>
      </c>
      <c r="R954">
        <v>60</v>
      </c>
      <c r="S954">
        <v>15</v>
      </c>
      <c r="T954" t="s">
        <v>36</v>
      </c>
      <c r="U954" t="s">
        <v>36</v>
      </c>
      <c r="V954" t="s">
        <v>37</v>
      </c>
      <c r="W954" t="s">
        <v>38</v>
      </c>
      <c r="X954">
        <v>2023</v>
      </c>
      <c r="Y954" t="s">
        <v>61</v>
      </c>
      <c r="Z954" t="s">
        <v>104</v>
      </c>
      <c r="AA954" t="s">
        <v>105</v>
      </c>
    </row>
    <row r="955" spans="1:27" x14ac:dyDescent="0.3">
      <c r="A955" t="s">
        <v>1074</v>
      </c>
      <c r="B955" t="s">
        <v>28</v>
      </c>
      <c r="C955">
        <v>42</v>
      </c>
      <c r="D955" t="s">
        <v>81</v>
      </c>
      <c r="E955" t="s">
        <v>113</v>
      </c>
      <c r="F955" t="s">
        <v>96</v>
      </c>
      <c r="G955">
        <v>143117</v>
      </c>
      <c r="H955" s="1">
        <v>45056</v>
      </c>
      <c r="I955" t="s">
        <v>98</v>
      </c>
      <c r="J955" t="s">
        <v>48</v>
      </c>
      <c r="K955" t="s">
        <v>49</v>
      </c>
      <c r="L955">
        <v>10</v>
      </c>
      <c r="M955">
        <v>5</v>
      </c>
      <c r="N955">
        <v>4</v>
      </c>
      <c r="O955" t="s">
        <v>59</v>
      </c>
      <c r="P955" t="s">
        <v>37</v>
      </c>
      <c r="Q955">
        <v>217</v>
      </c>
      <c r="R955">
        <v>14</v>
      </c>
      <c r="S955">
        <v>13</v>
      </c>
      <c r="T955" t="s">
        <v>37</v>
      </c>
      <c r="U955" t="s">
        <v>36</v>
      </c>
      <c r="V955" t="s">
        <v>36</v>
      </c>
      <c r="W955" t="s">
        <v>60</v>
      </c>
      <c r="X955">
        <v>2023</v>
      </c>
      <c r="Y955" t="s">
        <v>74</v>
      </c>
      <c r="Z955" t="s">
        <v>70</v>
      </c>
      <c r="AA955" t="s">
        <v>105</v>
      </c>
    </row>
    <row r="956" spans="1:27" x14ac:dyDescent="0.3">
      <c r="A956" t="s">
        <v>1075</v>
      </c>
      <c r="B956" t="s">
        <v>43</v>
      </c>
      <c r="C956">
        <v>31</v>
      </c>
      <c r="D956" t="s">
        <v>85</v>
      </c>
      <c r="E956" t="s">
        <v>151</v>
      </c>
      <c r="F956" t="s">
        <v>96</v>
      </c>
      <c r="G956">
        <v>100162</v>
      </c>
      <c r="H956" s="1">
        <v>45327</v>
      </c>
      <c r="I956" t="s">
        <v>57</v>
      </c>
      <c r="J956" t="s">
        <v>73</v>
      </c>
      <c r="K956" t="s">
        <v>49</v>
      </c>
      <c r="L956">
        <v>17</v>
      </c>
      <c r="M956">
        <v>4</v>
      </c>
      <c r="N956">
        <v>1</v>
      </c>
      <c r="O956" t="s">
        <v>50</v>
      </c>
      <c r="P956" t="s">
        <v>36</v>
      </c>
      <c r="Q956">
        <v>226</v>
      </c>
      <c r="R956">
        <v>63</v>
      </c>
      <c r="S956">
        <v>29</v>
      </c>
      <c r="T956" t="s">
        <v>36</v>
      </c>
      <c r="U956" t="s">
        <v>36</v>
      </c>
      <c r="V956" t="s">
        <v>37</v>
      </c>
      <c r="W956" t="s">
        <v>38</v>
      </c>
      <c r="X956">
        <v>2024</v>
      </c>
      <c r="Y956" t="s">
        <v>39</v>
      </c>
      <c r="Z956" t="s">
        <v>40</v>
      </c>
      <c r="AA956" t="s">
        <v>87</v>
      </c>
    </row>
    <row r="957" spans="1:27" x14ac:dyDescent="0.3">
      <c r="A957" t="s">
        <v>1076</v>
      </c>
      <c r="B957" t="s">
        <v>28</v>
      </c>
      <c r="C957">
        <v>39</v>
      </c>
      <c r="D957" t="s">
        <v>77</v>
      </c>
      <c r="E957" t="s">
        <v>182</v>
      </c>
      <c r="F957" t="s">
        <v>46</v>
      </c>
      <c r="G957">
        <v>70155</v>
      </c>
      <c r="H957" s="1">
        <v>43489</v>
      </c>
      <c r="I957" t="s">
        <v>98</v>
      </c>
      <c r="J957" t="s">
        <v>91</v>
      </c>
      <c r="K957" t="s">
        <v>58</v>
      </c>
      <c r="L957">
        <v>13</v>
      </c>
      <c r="M957">
        <v>5</v>
      </c>
      <c r="N957">
        <v>3</v>
      </c>
      <c r="O957" t="s">
        <v>59</v>
      </c>
      <c r="P957" t="s">
        <v>37</v>
      </c>
      <c r="Q957">
        <v>159</v>
      </c>
      <c r="R957">
        <v>67</v>
      </c>
      <c r="S957">
        <v>16</v>
      </c>
      <c r="T957" t="s">
        <v>36</v>
      </c>
      <c r="U957" t="s">
        <v>36</v>
      </c>
      <c r="V957" t="s">
        <v>36</v>
      </c>
      <c r="W957" t="s">
        <v>60</v>
      </c>
      <c r="X957">
        <v>2019</v>
      </c>
      <c r="Y957" t="s">
        <v>94</v>
      </c>
      <c r="Z957" t="s">
        <v>62</v>
      </c>
      <c r="AA957" t="s">
        <v>52</v>
      </c>
    </row>
    <row r="958" spans="1:27" x14ac:dyDescent="0.3">
      <c r="A958" t="s">
        <v>1077</v>
      </c>
      <c r="B958" t="s">
        <v>28</v>
      </c>
      <c r="C958">
        <v>34</v>
      </c>
      <c r="D958" t="s">
        <v>89</v>
      </c>
      <c r="E958" t="s">
        <v>144</v>
      </c>
      <c r="F958" t="s">
        <v>96</v>
      </c>
      <c r="G958">
        <v>114232</v>
      </c>
      <c r="H958" s="1">
        <v>43771</v>
      </c>
      <c r="I958" t="s">
        <v>98</v>
      </c>
      <c r="J958" t="s">
        <v>118</v>
      </c>
      <c r="K958" t="s">
        <v>58</v>
      </c>
      <c r="L958">
        <v>20</v>
      </c>
      <c r="M958">
        <v>1</v>
      </c>
      <c r="N958">
        <v>5</v>
      </c>
      <c r="O958" t="s">
        <v>59</v>
      </c>
      <c r="P958" t="s">
        <v>36</v>
      </c>
      <c r="Q958">
        <v>252</v>
      </c>
      <c r="R958">
        <v>39</v>
      </c>
      <c r="S958">
        <v>7</v>
      </c>
      <c r="T958" t="s">
        <v>37</v>
      </c>
      <c r="U958" t="s">
        <v>36</v>
      </c>
      <c r="V958" t="s">
        <v>36</v>
      </c>
      <c r="W958" t="s">
        <v>60</v>
      </c>
      <c r="X958">
        <v>2019</v>
      </c>
      <c r="Y958" t="s">
        <v>123</v>
      </c>
      <c r="Z958" t="s">
        <v>40</v>
      </c>
      <c r="AA958" t="s">
        <v>87</v>
      </c>
    </row>
    <row r="959" spans="1:27" x14ac:dyDescent="0.3">
      <c r="A959" t="s">
        <v>1078</v>
      </c>
      <c r="B959" t="s">
        <v>43</v>
      </c>
      <c r="C959">
        <v>35</v>
      </c>
      <c r="D959" t="s">
        <v>65</v>
      </c>
      <c r="E959" t="s">
        <v>120</v>
      </c>
      <c r="F959" t="s">
        <v>96</v>
      </c>
      <c r="G959">
        <v>96998</v>
      </c>
      <c r="H959" s="1">
        <v>44548</v>
      </c>
      <c r="I959" t="s">
        <v>107</v>
      </c>
      <c r="J959" t="s">
        <v>101</v>
      </c>
      <c r="K959" t="s">
        <v>58</v>
      </c>
      <c r="L959">
        <v>20</v>
      </c>
      <c r="M959">
        <v>3</v>
      </c>
      <c r="N959">
        <v>3</v>
      </c>
      <c r="O959" t="s">
        <v>50</v>
      </c>
      <c r="P959" t="s">
        <v>37</v>
      </c>
      <c r="Q959">
        <v>163</v>
      </c>
      <c r="R959">
        <v>60</v>
      </c>
      <c r="S959">
        <v>26</v>
      </c>
      <c r="T959" t="s">
        <v>36</v>
      </c>
      <c r="U959" t="s">
        <v>36</v>
      </c>
      <c r="V959" t="s">
        <v>36</v>
      </c>
      <c r="W959" t="s">
        <v>60</v>
      </c>
      <c r="X959">
        <v>2021</v>
      </c>
      <c r="Y959" t="s">
        <v>116</v>
      </c>
      <c r="Z959" t="s">
        <v>40</v>
      </c>
      <c r="AA959" t="s">
        <v>87</v>
      </c>
    </row>
    <row r="960" spans="1:27" x14ac:dyDescent="0.3">
      <c r="A960" t="s">
        <v>1079</v>
      </c>
      <c r="B960" t="s">
        <v>28</v>
      </c>
      <c r="C960">
        <v>35</v>
      </c>
      <c r="D960" t="s">
        <v>85</v>
      </c>
      <c r="E960" t="s">
        <v>168</v>
      </c>
      <c r="F960" t="s">
        <v>46</v>
      </c>
      <c r="G960">
        <v>97567</v>
      </c>
      <c r="H960" s="1">
        <v>45819</v>
      </c>
      <c r="I960" t="s">
        <v>107</v>
      </c>
      <c r="J960" t="s">
        <v>118</v>
      </c>
      <c r="K960" t="s">
        <v>49</v>
      </c>
      <c r="L960">
        <v>5</v>
      </c>
      <c r="M960">
        <v>1</v>
      </c>
      <c r="N960">
        <v>1</v>
      </c>
      <c r="O960" t="s">
        <v>35</v>
      </c>
      <c r="P960" t="s">
        <v>37</v>
      </c>
      <c r="Q960">
        <v>230</v>
      </c>
      <c r="R960">
        <v>63</v>
      </c>
      <c r="S960">
        <v>7</v>
      </c>
      <c r="T960" t="s">
        <v>37</v>
      </c>
      <c r="U960" t="s">
        <v>36</v>
      </c>
      <c r="V960" t="s">
        <v>37</v>
      </c>
      <c r="W960" t="s">
        <v>38</v>
      </c>
      <c r="X960">
        <v>2025</v>
      </c>
      <c r="Y960" t="s">
        <v>61</v>
      </c>
      <c r="Z960" t="s">
        <v>40</v>
      </c>
      <c r="AA960" t="s">
        <v>87</v>
      </c>
    </row>
    <row r="961" spans="1:27" x14ac:dyDescent="0.3">
      <c r="A961" t="s">
        <v>1080</v>
      </c>
      <c r="B961" t="s">
        <v>28</v>
      </c>
      <c r="C961">
        <v>35</v>
      </c>
      <c r="D961" t="s">
        <v>81</v>
      </c>
      <c r="E961" t="s">
        <v>165</v>
      </c>
      <c r="F961" t="s">
        <v>31</v>
      </c>
      <c r="G961">
        <v>58485</v>
      </c>
      <c r="H961" s="1">
        <v>45759</v>
      </c>
      <c r="I961" t="s">
        <v>57</v>
      </c>
      <c r="J961" t="s">
        <v>101</v>
      </c>
      <c r="K961" t="s">
        <v>34</v>
      </c>
      <c r="L961">
        <v>3</v>
      </c>
      <c r="M961">
        <v>5</v>
      </c>
      <c r="N961">
        <v>3</v>
      </c>
      <c r="O961" t="s">
        <v>68</v>
      </c>
      <c r="P961" t="s">
        <v>36</v>
      </c>
      <c r="Q961">
        <v>250</v>
      </c>
      <c r="R961">
        <v>25</v>
      </c>
      <c r="S961">
        <v>24</v>
      </c>
      <c r="T961" t="s">
        <v>36</v>
      </c>
      <c r="U961" t="s">
        <v>36</v>
      </c>
      <c r="V961" t="s">
        <v>37</v>
      </c>
      <c r="W961" t="s">
        <v>38</v>
      </c>
      <c r="X961">
        <v>2025</v>
      </c>
      <c r="Y961" t="s">
        <v>69</v>
      </c>
      <c r="Z961" t="s">
        <v>40</v>
      </c>
      <c r="AA961" t="s">
        <v>41</v>
      </c>
    </row>
    <row r="962" spans="1:27" x14ac:dyDescent="0.3">
      <c r="A962" t="s">
        <v>1081</v>
      </c>
      <c r="B962" t="s">
        <v>43</v>
      </c>
      <c r="C962">
        <v>36</v>
      </c>
      <c r="D962" t="s">
        <v>44</v>
      </c>
      <c r="E962" t="s">
        <v>219</v>
      </c>
      <c r="F962" t="s">
        <v>31</v>
      </c>
      <c r="G962">
        <v>55752</v>
      </c>
      <c r="H962" s="1">
        <v>45061</v>
      </c>
      <c r="I962" t="s">
        <v>107</v>
      </c>
      <c r="J962" t="s">
        <v>99</v>
      </c>
      <c r="K962" t="s">
        <v>58</v>
      </c>
      <c r="L962">
        <v>2</v>
      </c>
      <c r="M962">
        <v>5</v>
      </c>
      <c r="N962">
        <v>3</v>
      </c>
      <c r="O962" t="s">
        <v>35</v>
      </c>
      <c r="P962" t="s">
        <v>37</v>
      </c>
      <c r="Q962">
        <v>211</v>
      </c>
      <c r="R962">
        <v>78</v>
      </c>
      <c r="S962">
        <v>13</v>
      </c>
      <c r="T962" t="s">
        <v>37</v>
      </c>
      <c r="U962" t="s">
        <v>37</v>
      </c>
      <c r="V962" t="s">
        <v>37</v>
      </c>
      <c r="W962" t="s">
        <v>38</v>
      </c>
      <c r="X962">
        <v>2023</v>
      </c>
      <c r="Y962" t="s">
        <v>74</v>
      </c>
      <c r="Z962" t="s">
        <v>62</v>
      </c>
      <c r="AA962" t="s">
        <v>41</v>
      </c>
    </row>
    <row r="963" spans="1:27" x14ac:dyDescent="0.3">
      <c r="A963" t="s">
        <v>1082</v>
      </c>
      <c r="B963" t="s">
        <v>28</v>
      </c>
      <c r="C963">
        <v>41</v>
      </c>
      <c r="D963" t="s">
        <v>89</v>
      </c>
      <c r="E963" t="s">
        <v>203</v>
      </c>
      <c r="F963" t="s">
        <v>56</v>
      </c>
      <c r="G963">
        <v>38321</v>
      </c>
      <c r="H963" s="1">
        <v>45216</v>
      </c>
      <c r="I963" t="s">
        <v>47</v>
      </c>
      <c r="J963" t="s">
        <v>99</v>
      </c>
      <c r="K963" t="s">
        <v>34</v>
      </c>
      <c r="L963">
        <v>1</v>
      </c>
      <c r="M963">
        <v>1</v>
      </c>
      <c r="N963">
        <v>1</v>
      </c>
      <c r="O963" t="s">
        <v>68</v>
      </c>
      <c r="P963" t="s">
        <v>36</v>
      </c>
      <c r="Q963">
        <v>196</v>
      </c>
      <c r="R963">
        <v>30</v>
      </c>
      <c r="S963">
        <v>3</v>
      </c>
      <c r="T963" t="s">
        <v>37</v>
      </c>
      <c r="U963" t="s">
        <v>36</v>
      </c>
      <c r="V963" t="s">
        <v>36</v>
      </c>
      <c r="W963" t="s">
        <v>126</v>
      </c>
      <c r="X963">
        <v>2023</v>
      </c>
      <c r="Y963" t="s">
        <v>83</v>
      </c>
      <c r="Z963" t="s">
        <v>70</v>
      </c>
      <c r="AA963" t="s">
        <v>63</v>
      </c>
    </row>
    <row r="964" spans="1:27" x14ac:dyDescent="0.3">
      <c r="A964" t="s">
        <v>1083</v>
      </c>
      <c r="B964" t="s">
        <v>28</v>
      </c>
      <c r="C964">
        <v>33</v>
      </c>
      <c r="D964" t="s">
        <v>77</v>
      </c>
      <c r="E964" t="s">
        <v>78</v>
      </c>
      <c r="F964" t="s">
        <v>56</v>
      </c>
      <c r="G964">
        <v>28150</v>
      </c>
      <c r="H964" s="1">
        <v>44516</v>
      </c>
      <c r="I964" t="s">
        <v>107</v>
      </c>
      <c r="J964" t="s">
        <v>67</v>
      </c>
      <c r="K964" t="s">
        <v>58</v>
      </c>
      <c r="L964">
        <v>3</v>
      </c>
      <c r="M964">
        <v>1</v>
      </c>
      <c r="N964">
        <v>5</v>
      </c>
      <c r="O964" t="s">
        <v>68</v>
      </c>
      <c r="P964" t="s">
        <v>36</v>
      </c>
      <c r="Q964">
        <v>250</v>
      </c>
      <c r="R964">
        <v>77</v>
      </c>
      <c r="S964">
        <v>18</v>
      </c>
      <c r="T964" t="s">
        <v>36</v>
      </c>
      <c r="U964" t="s">
        <v>36</v>
      </c>
      <c r="V964" t="s">
        <v>36</v>
      </c>
      <c r="W964" t="s">
        <v>126</v>
      </c>
      <c r="X964">
        <v>2021</v>
      </c>
      <c r="Y964" t="s">
        <v>123</v>
      </c>
      <c r="Z964" t="s">
        <v>40</v>
      </c>
      <c r="AA964" t="s">
        <v>63</v>
      </c>
    </row>
    <row r="965" spans="1:27" x14ac:dyDescent="0.3">
      <c r="A965" t="s">
        <v>1084</v>
      </c>
      <c r="B965" t="s">
        <v>28</v>
      </c>
      <c r="C965">
        <v>36</v>
      </c>
      <c r="D965" t="s">
        <v>77</v>
      </c>
      <c r="E965" t="s">
        <v>78</v>
      </c>
      <c r="F965" t="s">
        <v>31</v>
      </c>
      <c r="G965">
        <v>61502</v>
      </c>
      <c r="H965" s="1">
        <v>44608</v>
      </c>
      <c r="I965" t="s">
        <v>98</v>
      </c>
      <c r="J965" t="s">
        <v>73</v>
      </c>
      <c r="K965" t="s">
        <v>49</v>
      </c>
      <c r="L965">
        <v>4</v>
      </c>
      <c r="M965">
        <v>4</v>
      </c>
      <c r="N965">
        <v>1</v>
      </c>
      <c r="O965" t="s">
        <v>68</v>
      </c>
      <c r="P965" t="s">
        <v>36</v>
      </c>
      <c r="Q965">
        <v>257</v>
      </c>
      <c r="R965">
        <v>44</v>
      </c>
      <c r="S965">
        <v>27</v>
      </c>
      <c r="T965" t="s">
        <v>36</v>
      </c>
      <c r="U965" t="s">
        <v>37</v>
      </c>
      <c r="V965" t="s">
        <v>36</v>
      </c>
      <c r="W965" t="s">
        <v>60</v>
      </c>
      <c r="X965">
        <v>2022</v>
      </c>
      <c r="Y965" t="s">
        <v>39</v>
      </c>
      <c r="Z965" t="s">
        <v>62</v>
      </c>
      <c r="AA965" t="s">
        <v>52</v>
      </c>
    </row>
    <row r="966" spans="1:27" x14ac:dyDescent="0.3">
      <c r="A966" t="s">
        <v>1085</v>
      </c>
      <c r="B966" t="s">
        <v>28</v>
      </c>
      <c r="C966">
        <v>31</v>
      </c>
      <c r="D966" t="s">
        <v>54</v>
      </c>
      <c r="E966" t="s">
        <v>153</v>
      </c>
      <c r="F966" t="s">
        <v>46</v>
      </c>
      <c r="G966">
        <v>86776</v>
      </c>
      <c r="H966" s="1">
        <v>44095</v>
      </c>
      <c r="I966" t="s">
        <v>32</v>
      </c>
      <c r="J966" t="s">
        <v>48</v>
      </c>
      <c r="K966" t="s">
        <v>49</v>
      </c>
      <c r="L966">
        <v>5</v>
      </c>
      <c r="M966">
        <v>3</v>
      </c>
      <c r="N966">
        <v>5</v>
      </c>
      <c r="O966" t="s">
        <v>50</v>
      </c>
      <c r="P966" t="s">
        <v>36</v>
      </c>
      <c r="Q966">
        <v>228</v>
      </c>
      <c r="R966">
        <v>32</v>
      </c>
      <c r="S966">
        <v>30</v>
      </c>
      <c r="T966" t="s">
        <v>36</v>
      </c>
      <c r="U966" t="s">
        <v>36</v>
      </c>
      <c r="V966" t="s">
        <v>36</v>
      </c>
      <c r="W966" t="s">
        <v>60</v>
      </c>
      <c r="X966">
        <v>2020</v>
      </c>
      <c r="Y966" t="s">
        <v>51</v>
      </c>
      <c r="Z966" t="s">
        <v>40</v>
      </c>
      <c r="AA966" t="s">
        <v>52</v>
      </c>
    </row>
    <row r="967" spans="1:27" x14ac:dyDescent="0.3">
      <c r="A967" t="s">
        <v>1086</v>
      </c>
      <c r="B967" t="s">
        <v>43</v>
      </c>
      <c r="C967">
        <v>42</v>
      </c>
      <c r="D967" t="s">
        <v>81</v>
      </c>
      <c r="E967" t="s">
        <v>113</v>
      </c>
      <c r="F967" t="s">
        <v>46</v>
      </c>
      <c r="G967">
        <v>74921</v>
      </c>
      <c r="H967" s="1">
        <v>45636</v>
      </c>
      <c r="I967" t="s">
        <v>47</v>
      </c>
      <c r="J967" t="s">
        <v>101</v>
      </c>
      <c r="K967" t="s">
        <v>58</v>
      </c>
      <c r="L967">
        <v>11</v>
      </c>
      <c r="M967">
        <v>1</v>
      </c>
      <c r="N967">
        <v>4</v>
      </c>
      <c r="O967" t="s">
        <v>68</v>
      </c>
      <c r="P967" t="s">
        <v>36</v>
      </c>
      <c r="Q967">
        <v>219</v>
      </c>
      <c r="R967">
        <v>37</v>
      </c>
      <c r="S967">
        <v>30</v>
      </c>
      <c r="T967" t="s">
        <v>36</v>
      </c>
      <c r="U967" t="s">
        <v>36</v>
      </c>
      <c r="V967" t="s">
        <v>37</v>
      </c>
      <c r="W967" t="s">
        <v>38</v>
      </c>
      <c r="X967">
        <v>2024</v>
      </c>
      <c r="Y967" t="s">
        <v>116</v>
      </c>
      <c r="Z967" t="s">
        <v>70</v>
      </c>
      <c r="AA967" t="s">
        <v>52</v>
      </c>
    </row>
    <row r="968" spans="1:27" x14ac:dyDescent="0.3">
      <c r="A968" t="s">
        <v>1087</v>
      </c>
      <c r="B968" t="s">
        <v>28</v>
      </c>
      <c r="C968">
        <v>27</v>
      </c>
      <c r="D968" t="s">
        <v>81</v>
      </c>
      <c r="E968" t="s">
        <v>113</v>
      </c>
      <c r="F968" t="s">
        <v>46</v>
      </c>
      <c r="G968">
        <v>79932</v>
      </c>
      <c r="H968" s="1">
        <v>46049</v>
      </c>
      <c r="I968" t="s">
        <v>57</v>
      </c>
      <c r="J968" t="s">
        <v>101</v>
      </c>
      <c r="K968" t="s">
        <v>49</v>
      </c>
      <c r="L968">
        <v>11</v>
      </c>
      <c r="M968">
        <v>3</v>
      </c>
      <c r="N968">
        <v>4</v>
      </c>
      <c r="O968" t="s">
        <v>50</v>
      </c>
      <c r="P968" t="s">
        <v>37</v>
      </c>
      <c r="Q968">
        <v>219</v>
      </c>
      <c r="R968">
        <v>11</v>
      </c>
      <c r="S968">
        <v>14</v>
      </c>
      <c r="T968" t="s">
        <v>36</v>
      </c>
      <c r="U968" t="s">
        <v>37</v>
      </c>
      <c r="V968" t="s">
        <v>36</v>
      </c>
      <c r="W968" t="s">
        <v>126</v>
      </c>
      <c r="X968">
        <v>2026</v>
      </c>
      <c r="Y968" t="s">
        <v>94</v>
      </c>
      <c r="Z968" t="s">
        <v>75</v>
      </c>
      <c r="AA968" t="s">
        <v>52</v>
      </c>
    </row>
    <row r="969" spans="1:27" x14ac:dyDescent="0.3">
      <c r="A969" t="s">
        <v>1088</v>
      </c>
      <c r="B969" t="s">
        <v>43</v>
      </c>
      <c r="C969">
        <v>44</v>
      </c>
      <c r="D969" t="s">
        <v>65</v>
      </c>
      <c r="E969" t="s">
        <v>120</v>
      </c>
      <c r="F969" t="s">
        <v>46</v>
      </c>
      <c r="G969">
        <v>91022</v>
      </c>
      <c r="H969" s="1">
        <v>44309</v>
      </c>
      <c r="I969" t="s">
        <v>98</v>
      </c>
      <c r="J969" t="s">
        <v>91</v>
      </c>
      <c r="K969" t="s">
        <v>49</v>
      </c>
      <c r="L969">
        <v>7</v>
      </c>
      <c r="M969">
        <v>5</v>
      </c>
      <c r="N969">
        <v>2</v>
      </c>
      <c r="O969" t="s">
        <v>35</v>
      </c>
      <c r="P969" t="s">
        <v>36</v>
      </c>
      <c r="Q969">
        <v>255</v>
      </c>
      <c r="R969">
        <v>10</v>
      </c>
      <c r="S969">
        <v>17</v>
      </c>
      <c r="T969" t="s">
        <v>36</v>
      </c>
      <c r="U969" t="s">
        <v>37</v>
      </c>
      <c r="V969" t="s">
        <v>36</v>
      </c>
      <c r="W969" t="s">
        <v>60</v>
      </c>
      <c r="X969">
        <v>2021</v>
      </c>
      <c r="Y969" t="s">
        <v>69</v>
      </c>
      <c r="Z969" t="s">
        <v>70</v>
      </c>
      <c r="AA969" t="s">
        <v>87</v>
      </c>
    </row>
    <row r="970" spans="1:27" x14ac:dyDescent="0.3">
      <c r="A970" t="s">
        <v>1089</v>
      </c>
      <c r="B970" t="s">
        <v>28</v>
      </c>
      <c r="C970">
        <v>31</v>
      </c>
      <c r="D970" t="s">
        <v>54</v>
      </c>
      <c r="E970" t="s">
        <v>111</v>
      </c>
      <c r="F970" t="s">
        <v>56</v>
      </c>
      <c r="G970">
        <v>30730</v>
      </c>
      <c r="H970" s="1">
        <v>45361</v>
      </c>
      <c r="I970" t="s">
        <v>107</v>
      </c>
      <c r="J970" t="s">
        <v>101</v>
      </c>
      <c r="K970" t="s">
        <v>34</v>
      </c>
      <c r="L970">
        <v>0</v>
      </c>
      <c r="M970">
        <v>5</v>
      </c>
      <c r="N970">
        <v>4</v>
      </c>
      <c r="O970" t="s">
        <v>59</v>
      </c>
      <c r="P970" t="s">
        <v>37</v>
      </c>
      <c r="Q970">
        <v>226</v>
      </c>
      <c r="R970">
        <v>11</v>
      </c>
      <c r="S970">
        <v>23</v>
      </c>
      <c r="T970" t="s">
        <v>36</v>
      </c>
      <c r="U970" t="s">
        <v>37</v>
      </c>
      <c r="V970" t="s">
        <v>36</v>
      </c>
      <c r="W970" t="s">
        <v>60</v>
      </c>
      <c r="X970">
        <v>2024</v>
      </c>
      <c r="Y970" t="s">
        <v>142</v>
      </c>
      <c r="Z970" t="s">
        <v>40</v>
      </c>
      <c r="AA970" t="s">
        <v>63</v>
      </c>
    </row>
    <row r="971" spans="1:27" x14ac:dyDescent="0.3">
      <c r="A971" t="s">
        <v>1090</v>
      </c>
      <c r="B971" t="s">
        <v>28</v>
      </c>
      <c r="C971">
        <v>21</v>
      </c>
      <c r="D971" t="s">
        <v>29</v>
      </c>
      <c r="E971" t="s">
        <v>122</v>
      </c>
      <c r="F971" t="s">
        <v>46</v>
      </c>
      <c r="G971">
        <v>80322</v>
      </c>
      <c r="H971" s="1">
        <v>44563</v>
      </c>
      <c r="I971" t="s">
        <v>107</v>
      </c>
      <c r="J971" t="s">
        <v>91</v>
      </c>
      <c r="K971" t="s">
        <v>58</v>
      </c>
      <c r="L971">
        <v>10</v>
      </c>
      <c r="M971">
        <v>1</v>
      </c>
      <c r="N971">
        <v>2</v>
      </c>
      <c r="O971" t="s">
        <v>35</v>
      </c>
      <c r="P971" t="s">
        <v>37</v>
      </c>
      <c r="Q971">
        <v>160</v>
      </c>
      <c r="R971">
        <v>25</v>
      </c>
      <c r="S971">
        <v>29</v>
      </c>
      <c r="T971" t="s">
        <v>36</v>
      </c>
      <c r="U971" t="s">
        <v>36</v>
      </c>
      <c r="V971" t="s">
        <v>37</v>
      </c>
      <c r="W971" t="s">
        <v>38</v>
      </c>
      <c r="X971">
        <v>2022</v>
      </c>
      <c r="Y971" t="s">
        <v>94</v>
      </c>
      <c r="Z971" t="s">
        <v>104</v>
      </c>
      <c r="AA971" t="s">
        <v>52</v>
      </c>
    </row>
    <row r="972" spans="1:27" x14ac:dyDescent="0.3">
      <c r="A972" t="s">
        <v>1091</v>
      </c>
      <c r="B972" t="s">
        <v>28</v>
      </c>
      <c r="C972">
        <v>32</v>
      </c>
      <c r="D972" t="s">
        <v>54</v>
      </c>
      <c r="E972" t="s">
        <v>207</v>
      </c>
      <c r="F972" t="s">
        <v>56</v>
      </c>
      <c r="G972">
        <v>39051</v>
      </c>
      <c r="H972" s="1">
        <v>44215</v>
      </c>
      <c r="I972" t="s">
        <v>107</v>
      </c>
      <c r="J972" t="s">
        <v>99</v>
      </c>
      <c r="K972" t="s">
        <v>49</v>
      </c>
      <c r="L972">
        <v>1</v>
      </c>
      <c r="M972">
        <v>3</v>
      </c>
      <c r="N972">
        <v>5</v>
      </c>
      <c r="O972" t="s">
        <v>35</v>
      </c>
      <c r="P972" t="s">
        <v>36</v>
      </c>
      <c r="Q972">
        <v>206</v>
      </c>
      <c r="R972">
        <v>61</v>
      </c>
      <c r="S972">
        <v>24</v>
      </c>
      <c r="T972" t="s">
        <v>37</v>
      </c>
      <c r="U972" t="s">
        <v>36</v>
      </c>
      <c r="V972" t="s">
        <v>37</v>
      </c>
      <c r="W972" t="s">
        <v>38</v>
      </c>
      <c r="X972">
        <v>2021</v>
      </c>
      <c r="Y972" t="s">
        <v>94</v>
      </c>
      <c r="Z972" t="s">
        <v>40</v>
      </c>
      <c r="AA972" t="s">
        <v>63</v>
      </c>
    </row>
    <row r="973" spans="1:27" x14ac:dyDescent="0.3">
      <c r="A973" t="s">
        <v>1092</v>
      </c>
      <c r="B973" t="s">
        <v>28</v>
      </c>
      <c r="C973">
        <v>27</v>
      </c>
      <c r="D973" t="s">
        <v>89</v>
      </c>
      <c r="E973" t="s">
        <v>203</v>
      </c>
      <c r="F973" t="s">
        <v>46</v>
      </c>
      <c r="G973">
        <v>103658</v>
      </c>
      <c r="H973" s="1">
        <v>46103</v>
      </c>
      <c r="I973" t="s">
        <v>47</v>
      </c>
      <c r="J973" t="s">
        <v>67</v>
      </c>
      <c r="K973" t="s">
        <v>34</v>
      </c>
      <c r="L973">
        <v>10</v>
      </c>
      <c r="M973">
        <v>1</v>
      </c>
      <c r="N973">
        <v>2</v>
      </c>
      <c r="O973" t="s">
        <v>68</v>
      </c>
      <c r="P973" t="s">
        <v>36</v>
      </c>
      <c r="Q973">
        <v>246</v>
      </c>
      <c r="R973">
        <v>43</v>
      </c>
      <c r="S973">
        <v>26</v>
      </c>
      <c r="T973" t="s">
        <v>36</v>
      </c>
      <c r="U973" t="s">
        <v>37</v>
      </c>
      <c r="V973" t="s">
        <v>37</v>
      </c>
      <c r="W973" t="s">
        <v>38</v>
      </c>
      <c r="X973">
        <v>2026</v>
      </c>
      <c r="Y973" t="s">
        <v>142</v>
      </c>
      <c r="Z973" t="s">
        <v>75</v>
      </c>
      <c r="AA973" t="s">
        <v>87</v>
      </c>
    </row>
    <row r="974" spans="1:27" x14ac:dyDescent="0.3">
      <c r="A974" t="s">
        <v>1093</v>
      </c>
      <c r="B974" t="s">
        <v>28</v>
      </c>
      <c r="C974">
        <v>37</v>
      </c>
      <c r="D974" t="s">
        <v>44</v>
      </c>
      <c r="E974" t="s">
        <v>219</v>
      </c>
      <c r="F974" t="s">
        <v>56</v>
      </c>
      <c r="G974">
        <v>37090</v>
      </c>
      <c r="H974" s="1">
        <v>43982</v>
      </c>
      <c r="I974" t="s">
        <v>98</v>
      </c>
      <c r="J974" t="s">
        <v>67</v>
      </c>
      <c r="K974" t="s">
        <v>34</v>
      </c>
      <c r="L974">
        <v>2</v>
      </c>
      <c r="M974">
        <v>1</v>
      </c>
      <c r="N974">
        <v>2</v>
      </c>
      <c r="O974" t="s">
        <v>35</v>
      </c>
      <c r="P974" t="s">
        <v>36</v>
      </c>
      <c r="Q974">
        <v>155</v>
      </c>
      <c r="R974">
        <v>33</v>
      </c>
      <c r="S974">
        <v>22</v>
      </c>
      <c r="T974" t="s">
        <v>36</v>
      </c>
      <c r="U974" t="s">
        <v>36</v>
      </c>
      <c r="V974" t="s">
        <v>37</v>
      </c>
      <c r="W974" t="s">
        <v>38</v>
      </c>
      <c r="X974">
        <v>2020</v>
      </c>
      <c r="Y974" t="s">
        <v>74</v>
      </c>
      <c r="Z974" t="s">
        <v>62</v>
      </c>
      <c r="AA974" t="s">
        <v>63</v>
      </c>
    </row>
    <row r="975" spans="1:27" x14ac:dyDescent="0.3">
      <c r="A975" t="s">
        <v>1094</v>
      </c>
      <c r="B975" t="s">
        <v>28</v>
      </c>
      <c r="C975">
        <v>27</v>
      </c>
      <c r="D975" t="s">
        <v>65</v>
      </c>
      <c r="E975" t="s">
        <v>66</v>
      </c>
      <c r="F975" t="s">
        <v>31</v>
      </c>
      <c r="G975">
        <v>54248</v>
      </c>
      <c r="H975" s="1">
        <v>45788</v>
      </c>
      <c r="I975" t="s">
        <v>57</v>
      </c>
      <c r="J975" t="s">
        <v>118</v>
      </c>
      <c r="K975" t="s">
        <v>49</v>
      </c>
      <c r="L975">
        <v>7</v>
      </c>
      <c r="M975">
        <v>3</v>
      </c>
      <c r="N975">
        <v>2</v>
      </c>
      <c r="O975" t="s">
        <v>35</v>
      </c>
      <c r="P975" t="s">
        <v>37</v>
      </c>
      <c r="Q975">
        <v>196</v>
      </c>
      <c r="R975">
        <v>7</v>
      </c>
      <c r="S975">
        <v>14</v>
      </c>
      <c r="T975" t="s">
        <v>36</v>
      </c>
      <c r="U975" t="s">
        <v>36</v>
      </c>
      <c r="V975" t="s">
        <v>37</v>
      </c>
      <c r="W975" t="s">
        <v>38</v>
      </c>
      <c r="X975">
        <v>2025</v>
      </c>
      <c r="Y975" t="s">
        <v>74</v>
      </c>
      <c r="Z975" t="s">
        <v>75</v>
      </c>
      <c r="AA975" t="s">
        <v>41</v>
      </c>
    </row>
    <row r="976" spans="1:27" x14ac:dyDescent="0.3">
      <c r="A976" t="s">
        <v>1095</v>
      </c>
      <c r="B976" t="s">
        <v>43</v>
      </c>
      <c r="C976">
        <v>28</v>
      </c>
      <c r="D976" t="s">
        <v>29</v>
      </c>
      <c r="E976" t="s">
        <v>103</v>
      </c>
      <c r="F976" t="s">
        <v>96</v>
      </c>
      <c r="G976">
        <v>147571</v>
      </c>
      <c r="H976" s="1">
        <v>44542</v>
      </c>
      <c r="I976" t="s">
        <v>32</v>
      </c>
      <c r="J976" t="s">
        <v>33</v>
      </c>
      <c r="K976" t="s">
        <v>34</v>
      </c>
      <c r="L976">
        <v>15</v>
      </c>
      <c r="M976">
        <v>1</v>
      </c>
      <c r="N976">
        <v>2</v>
      </c>
      <c r="O976" t="s">
        <v>68</v>
      </c>
      <c r="P976" t="s">
        <v>36</v>
      </c>
      <c r="Q976">
        <v>214</v>
      </c>
      <c r="R976">
        <v>77</v>
      </c>
      <c r="S976">
        <v>29</v>
      </c>
      <c r="T976" t="s">
        <v>36</v>
      </c>
      <c r="U976" t="s">
        <v>36</v>
      </c>
      <c r="V976" t="s">
        <v>36</v>
      </c>
      <c r="W976" t="s">
        <v>60</v>
      </c>
      <c r="X976">
        <v>2021</v>
      </c>
      <c r="Y976" t="s">
        <v>116</v>
      </c>
      <c r="Z976" t="s">
        <v>75</v>
      </c>
      <c r="AA976" t="s">
        <v>105</v>
      </c>
    </row>
    <row r="977" spans="1:27" x14ac:dyDescent="0.3">
      <c r="A977" t="s">
        <v>1096</v>
      </c>
      <c r="B977" t="s">
        <v>43</v>
      </c>
      <c r="C977">
        <v>21</v>
      </c>
      <c r="D977" t="s">
        <v>44</v>
      </c>
      <c r="E977" t="s">
        <v>219</v>
      </c>
      <c r="F977" t="s">
        <v>56</v>
      </c>
      <c r="G977">
        <v>40865</v>
      </c>
      <c r="H977" s="1">
        <v>45343</v>
      </c>
      <c r="I977" t="s">
        <v>107</v>
      </c>
      <c r="J977" t="s">
        <v>99</v>
      </c>
      <c r="K977" t="s">
        <v>58</v>
      </c>
      <c r="L977">
        <v>3</v>
      </c>
      <c r="M977">
        <v>4</v>
      </c>
      <c r="N977">
        <v>2</v>
      </c>
      <c r="O977" t="s">
        <v>59</v>
      </c>
      <c r="P977" t="s">
        <v>36</v>
      </c>
      <c r="Q977">
        <v>191</v>
      </c>
      <c r="R977">
        <v>32</v>
      </c>
      <c r="S977">
        <v>14</v>
      </c>
      <c r="T977" t="s">
        <v>36</v>
      </c>
      <c r="U977" t="s">
        <v>37</v>
      </c>
      <c r="V977" t="s">
        <v>36</v>
      </c>
      <c r="W977" t="s">
        <v>60</v>
      </c>
      <c r="X977">
        <v>2024</v>
      </c>
      <c r="Y977" t="s">
        <v>39</v>
      </c>
      <c r="Z977" t="s">
        <v>104</v>
      </c>
      <c r="AA977" t="s">
        <v>41</v>
      </c>
    </row>
    <row r="978" spans="1:27" x14ac:dyDescent="0.3">
      <c r="A978" t="s">
        <v>1097</v>
      </c>
      <c r="B978" t="s">
        <v>28</v>
      </c>
      <c r="C978">
        <v>28</v>
      </c>
      <c r="D978" t="s">
        <v>77</v>
      </c>
      <c r="E978" t="s">
        <v>138</v>
      </c>
      <c r="F978" t="s">
        <v>46</v>
      </c>
      <c r="G978">
        <v>71931</v>
      </c>
      <c r="H978" s="1">
        <v>45666</v>
      </c>
      <c r="I978" t="s">
        <v>98</v>
      </c>
      <c r="J978" t="s">
        <v>73</v>
      </c>
      <c r="K978" t="s">
        <v>58</v>
      </c>
      <c r="L978">
        <v>12</v>
      </c>
      <c r="M978">
        <v>3</v>
      </c>
      <c r="N978">
        <v>2</v>
      </c>
      <c r="O978" t="s">
        <v>68</v>
      </c>
      <c r="P978" t="s">
        <v>36</v>
      </c>
      <c r="Q978">
        <v>157</v>
      </c>
      <c r="R978">
        <v>44</v>
      </c>
      <c r="S978">
        <v>12</v>
      </c>
      <c r="T978" t="s">
        <v>37</v>
      </c>
      <c r="U978" t="s">
        <v>36</v>
      </c>
      <c r="V978" t="s">
        <v>36</v>
      </c>
      <c r="W978" t="s">
        <v>60</v>
      </c>
      <c r="X978">
        <v>2025</v>
      </c>
      <c r="Y978" t="s">
        <v>94</v>
      </c>
      <c r="Z978" t="s">
        <v>75</v>
      </c>
      <c r="AA978" t="s">
        <v>52</v>
      </c>
    </row>
    <row r="979" spans="1:27" x14ac:dyDescent="0.3">
      <c r="A979" t="s">
        <v>1098</v>
      </c>
      <c r="B979" t="s">
        <v>28</v>
      </c>
      <c r="C979">
        <v>21</v>
      </c>
      <c r="D979" t="s">
        <v>29</v>
      </c>
      <c r="E979" t="s">
        <v>103</v>
      </c>
      <c r="F979" t="s">
        <v>96</v>
      </c>
      <c r="G979">
        <v>96081</v>
      </c>
      <c r="H979" s="1">
        <v>44466</v>
      </c>
      <c r="I979" t="s">
        <v>32</v>
      </c>
      <c r="J979" t="s">
        <v>48</v>
      </c>
      <c r="K979" t="s">
        <v>58</v>
      </c>
      <c r="L979">
        <v>13</v>
      </c>
      <c r="M979">
        <v>1</v>
      </c>
      <c r="N979">
        <v>5</v>
      </c>
      <c r="O979" t="s">
        <v>59</v>
      </c>
      <c r="P979" t="s">
        <v>36</v>
      </c>
      <c r="Q979">
        <v>202</v>
      </c>
      <c r="R979">
        <v>55</v>
      </c>
      <c r="S979">
        <v>16</v>
      </c>
      <c r="T979" t="s">
        <v>37</v>
      </c>
      <c r="U979" t="s">
        <v>36</v>
      </c>
      <c r="V979" t="s">
        <v>36</v>
      </c>
      <c r="W979" t="s">
        <v>60</v>
      </c>
      <c r="X979">
        <v>2021</v>
      </c>
      <c r="Y979" t="s">
        <v>51</v>
      </c>
      <c r="Z979" t="s">
        <v>104</v>
      </c>
      <c r="AA979" t="s">
        <v>87</v>
      </c>
    </row>
    <row r="980" spans="1:27" x14ac:dyDescent="0.3">
      <c r="A980" t="s">
        <v>1099</v>
      </c>
      <c r="B980" t="s">
        <v>28</v>
      </c>
      <c r="C980">
        <v>21</v>
      </c>
      <c r="D980" t="s">
        <v>81</v>
      </c>
      <c r="E980" t="s">
        <v>82</v>
      </c>
      <c r="F980" t="s">
        <v>96</v>
      </c>
      <c r="G980">
        <v>133788</v>
      </c>
      <c r="H980" s="1">
        <v>45770</v>
      </c>
      <c r="I980" t="s">
        <v>98</v>
      </c>
      <c r="J980" t="s">
        <v>118</v>
      </c>
      <c r="K980" t="s">
        <v>49</v>
      </c>
      <c r="L980">
        <v>20</v>
      </c>
      <c r="M980">
        <v>5</v>
      </c>
      <c r="N980">
        <v>5</v>
      </c>
      <c r="O980" t="s">
        <v>68</v>
      </c>
      <c r="P980" t="s">
        <v>36</v>
      </c>
      <c r="Q980">
        <v>191</v>
      </c>
      <c r="R980">
        <v>55</v>
      </c>
      <c r="S980">
        <v>3</v>
      </c>
      <c r="T980" t="s">
        <v>37</v>
      </c>
      <c r="U980" t="s">
        <v>36</v>
      </c>
      <c r="V980" t="s">
        <v>37</v>
      </c>
      <c r="W980" t="s">
        <v>38</v>
      </c>
      <c r="X980">
        <v>2025</v>
      </c>
      <c r="Y980" t="s">
        <v>69</v>
      </c>
      <c r="Z980" t="s">
        <v>104</v>
      </c>
      <c r="AA980" t="s">
        <v>105</v>
      </c>
    </row>
    <row r="981" spans="1:27" x14ac:dyDescent="0.3">
      <c r="A981" t="s">
        <v>1100</v>
      </c>
      <c r="B981" t="s">
        <v>28</v>
      </c>
      <c r="C981">
        <v>37</v>
      </c>
      <c r="D981" t="s">
        <v>77</v>
      </c>
      <c r="E981" t="s">
        <v>138</v>
      </c>
      <c r="F981" t="s">
        <v>56</v>
      </c>
      <c r="G981">
        <v>32635</v>
      </c>
      <c r="H981" s="1">
        <v>44981</v>
      </c>
      <c r="I981" t="s">
        <v>47</v>
      </c>
      <c r="J981" t="s">
        <v>99</v>
      </c>
      <c r="K981" t="s">
        <v>34</v>
      </c>
      <c r="L981">
        <v>3</v>
      </c>
      <c r="M981">
        <v>3</v>
      </c>
      <c r="N981">
        <v>5</v>
      </c>
      <c r="O981" t="s">
        <v>68</v>
      </c>
      <c r="P981" t="s">
        <v>37</v>
      </c>
      <c r="Q981">
        <v>159</v>
      </c>
      <c r="R981">
        <v>5</v>
      </c>
      <c r="S981">
        <v>16</v>
      </c>
      <c r="T981" t="s">
        <v>37</v>
      </c>
      <c r="U981" t="s">
        <v>36</v>
      </c>
      <c r="V981" t="s">
        <v>36</v>
      </c>
      <c r="W981" t="s">
        <v>60</v>
      </c>
      <c r="X981">
        <v>2023</v>
      </c>
      <c r="Y981" t="s">
        <v>39</v>
      </c>
      <c r="Z981" t="s">
        <v>62</v>
      </c>
      <c r="AA981" t="s">
        <v>63</v>
      </c>
    </row>
    <row r="982" spans="1:27" x14ac:dyDescent="0.3">
      <c r="A982" t="s">
        <v>1101</v>
      </c>
      <c r="B982" t="s">
        <v>43</v>
      </c>
      <c r="C982">
        <v>37</v>
      </c>
      <c r="D982" t="s">
        <v>85</v>
      </c>
      <c r="E982" t="s">
        <v>168</v>
      </c>
      <c r="F982" t="s">
        <v>56</v>
      </c>
      <c r="G982">
        <v>33928</v>
      </c>
      <c r="H982" s="1">
        <v>45233</v>
      </c>
      <c r="I982" t="s">
        <v>98</v>
      </c>
      <c r="J982" t="s">
        <v>48</v>
      </c>
      <c r="K982" t="s">
        <v>34</v>
      </c>
      <c r="L982">
        <v>1</v>
      </c>
      <c r="M982">
        <v>2</v>
      </c>
      <c r="N982">
        <v>1</v>
      </c>
      <c r="O982" t="s">
        <v>59</v>
      </c>
      <c r="P982" t="s">
        <v>36</v>
      </c>
      <c r="Q982">
        <v>251</v>
      </c>
      <c r="R982">
        <v>5</v>
      </c>
      <c r="S982">
        <v>23</v>
      </c>
      <c r="T982" t="s">
        <v>36</v>
      </c>
      <c r="U982" t="s">
        <v>36</v>
      </c>
      <c r="V982" t="s">
        <v>37</v>
      </c>
      <c r="W982" t="s">
        <v>38</v>
      </c>
      <c r="X982">
        <v>2023</v>
      </c>
      <c r="Y982" t="s">
        <v>123</v>
      </c>
      <c r="Z982" t="s">
        <v>62</v>
      </c>
      <c r="AA982" t="s">
        <v>63</v>
      </c>
    </row>
    <row r="983" spans="1:27" x14ac:dyDescent="0.3">
      <c r="A983" t="s">
        <v>1102</v>
      </c>
      <c r="B983" t="s">
        <v>28</v>
      </c>
      <c r="C983">
        <v>34</v>
      </c>
      <c r="D983" t="s">
        <v>77</v>
      </c>
      <c r="E983" t="s">
        <v>182</v>
      </c>
      <c r="F983" t="s">
        <v>56</v>
      </c>
      <c r="G983">
        <v>44486</v>
      </c>
      <c r="H983" s="1">
        <v>44332</v>
      </c>
      <c r="I983" t="s">
        <v>107</v>
      </c>
      <c r="J983" t="s">
        <v>101</v>
      </c>
      <c r="K983" t="s">
        <v>34</v>
      </c>
      <c r="L983">
        <v>3</v>
      </c>
      <c r="M983">
        <v>5</v>
      </c>
      <c r="N983">
        <v>3</v>
      </c>
      <c r="O983" t="s">
        <v>59</v>
      </c>
      <c r="P983" t="s">
        <v>36</v>
      </c>
      <c r="Q983">
        <v>220</v>
      </c>
      <c r="R983">
        <v>26</v>
      </c>
      <c r="S983">
        <v>24</v>
      </c>
      <c r="T983" t="s">
        <v>36</v>
      </c>
      <c r="U983" t="s">
        <v>37</v>
      </c>
      <c r="V983" t="s">
        <v>36</v>
      </c>
      <c r="W983" t="s">
        <v>60</v>
      </c>
      <c r="X983">
        <v>2021</v>
      </c>
      <c r="Y983" t="s">
        <v>74</v>
      </c>
      <c r="Z983" t="s">
        <v>40</v>
      </c>
      <c r="AA983" t="s">
        <v>41</v>
      </c>
    </row>
    <row r="984" spans="1:27" x14ac:dyDescent="0.3">
      <c r="A984" t="s">
        <v>1103</v>
      </c>
      <c r="B984" t="s">
        <v>43</v>
      </c>
      <c r="C984">
        <v>25</v>
      </c>
      <c r="D984" t="s">
        <v>29</v>
      </c>
      <c r="E984" t="s">
        <v>103</v>
      </c>
      <c r="F984" t="s">
        <v>46</v>
      </c>
      <c r="G984">
        <v>80488</v>
      </c>
      <c r="H984" s="1">
        <v>45657</v>
      </c>
      <c r="I984" t="s">
        <v>32</v>
      </c>
      <c r="J984" t="s">
        <v>101</v>
      </c>
      <c r="K984" t="s">
        <v>58</v>
      </c>
      <c r="L984">
        <v>12</v>
      </c>
      <c r="M984">
        <v>5</v>
      </c>
      <c r="N984">
        <v>2</v>
      </c>
      <c r="O984" t="s">
        <v>50</v>
      </c>
      <c r="P984" t="s">
        <v>37</v>
      </c>
      <c r="Q984">
        <v>220</v>
      </c>
      <c r="R984">
        <v>47</v>
      </c>
      <c r="S984">
        <v>30</v>
      </c>
      <c r="T984" t="s">
        <v>36</v>
      </c>
      <c r="U984" t="s">
        <v>36</v>
      </c>
      <c r="V984" t="s">
        <v>36</v>
      </c>
      <c r="W984" t="s">
        <v>60</v>
      </c>
      <c r="X984">
        <v>2024</v>
      </c>
      <c r="Y984" t="s">
        <v>116</v>
      </c>
      <c r="Z984" t="s">
        <v>104</v>
      </c>
      <c r="AA984" t="s">
        <v>52</v>
      </c>
    </row>
    <row r="985" spans="1:27" x14ac:dyDescent="0.3">
      <c r="A985" t="s">
        <v>1104</v>
      </c>
      <c r="B985" t="s">
        <v>28</v>
      </c>
      <c r="C985">
        <v>31</v>
      </c>
      <c r="D985" t="s">
        <v>85</v>
      </c>
      <c r="E985" t="s">
        <v>168</v>
      </c>
      <c r="F985" t="s">
        <v>96</v>
      </c>
      <c r="G985">
        <v>111300</v>
      </c>
      <c r="H985" s="1">
        <v>43687</v>
      </c>
      <c r="I985" t="s">
        <v>32</v>
      </c>
      <c r="J985" t="s">
        <v>73</v>
      </c>
      <c r="K985" t="s">
        <v>34</v>
      </c>
      <c r="L985">
        <v>8</v>
      </c>
      <c r="M985">
        <v>2</v>
      </c>
      <c r="N985">
        <v>5</v>
      </c>
      <c r="O985" t="s">
        <v>68</v>
      </c>
      <c r="P985" t="s">
        <v>37</v>
      </c>
      <c r="Q985">
        <v>228</v>
      </c>
      <c r="R985">
        <v>12</v>
      </c>
      <c r="S985">
        <v>10</v>
      </c>
      <c r="T985" t="s">
        <v>37</v>
      </c>
      <c r="U985" t="s">
        <v>36</v>
      </c>
      <c r="V985" t="s">
        <v>36</v>
      </c>
      <c r="W985" t="s">
        <v>60</v>
      </c>
      <c r="X985">
        <v>2019</v>
      </c>
      <c r="Y985" t="s">
        <v>128</v>
      </c>
      <c r="Z985" t="s">
        <v>40</v>
      </c>
      <c r="AA985" t="s">
        <v>87</v>
      </c>
    </row>
    <row r="986" spans="1:27" x14ac:dyDescent="0.3">
      <c r="A986" t="s">
        <v>1105</v>
      </c>
      <c r="B986" t="s">
        <v>43</v>
      </c>
      <c r="C986">
        <v>31</v>
      </c>
      <c r="D986" t="s">
        <v>89</v>
      </c>
      <c r="E986" t="s">
        <v>144</v>
      </c>
      <c r="F986" t="s">
        <v>31</v>
      </c>
      <c r="G986">
        <v>65958</v>
      </c>
      <c r="H986" s="1">
        <v>45615</v>
      </c>
      <c r="I986" t="s">
        <v>32</v>
      </c>
      <c r="J986" t="s">
        <v>99</v>
      </c>
      <c r="K986" t="s">
        <v>58</v>
      </c>
      <c r="L986">
        <v>3</v>
      </c>
      <c r="M986">
        <v>1</v>
      </c>
      <c r="N986">
        <v>1</v>
      </c>
      <c r="O986" t="s">
        <v>35</v>
      </c>
      <c r="P986" t="s">
        <v>36</v>
      </c>
      <c r="Q986">
        <v>196</v>
      </c>
      <c r="R986">
        <v>31</v>
      </c>
      <c r="S986">
        <v>3</v>
      </c>
      <c r="T986" t="s">
        <v>36</v>
      </c>
      <c r="U986" t="s">
        <v>36</v>
      </c>
      <c r="V986" t="s">
        <v>36</v>
      </c>
      <c r="W986" t="s">
        <v>60</v>
      </c>
      <c r="X986">
        <v>2024</v>
      </c>
      <c r="Y986" t="s">
        <v>123</v>
      </c>
      <c r="Z986" t="s">
        <v>40</v>
      </c>
      <c r="AA986" t="s">
        <v>52</v>
      </c>
    </row>
    <row r="987" spans="1:27" x14ac:dyDescent="0.3">
      <c r="A987" t="s">
        <v>1106</v>
      </c>
      <c r="B987" t="s">
        <v>28</v>
      </c>
      <c r="C987">
        <v>23</v>
      </c>
      <c r="D987" t="s">
        <v>85</v>
      </c>
      <c r="E987" t="s">
        <v>168</v>
      </c>
      <c r="F987" t="s">
        <v>96</v>
      </c>
      <c r="G987">
        <v>155277</v>
      </c>
      <c r="H987" s="1">
        <v>43986</v>
      </c>
      <c r="I987" t="s">
        <v>32</v>
      </c>
      <c r="J987" t="s">
        <v>48</v>
      </c>
      <c r="K987" t="s">
        <v>49</v>
      </c>
      <c r="L987">
        <v>13</v>
      </c>
      <c r="M987">
        <v>1</v>
      </c>
      <c r="N987">
        <v>2</v>
      </c>
      <c r="O987" t="s">
        <v>50</v>
      </c>
      <c r="P987" t="s">
        <v>36</v>
      </c>
      <c r="Q987">
        <v>241</v>
      </c>
      <c r="R987">
        <v>11</v>
      </c>
      <c r="S987">
        <v>15</v>
      </c>
      <c r="T987" t="s">
        <v>36</v>
      </c>
      <c r="U987" t="s">
        <v>36</v>
      </c>
      <c r="V987" t="s">
        <v>37</v>
      </c>
      <c r="W987" t="s">
        <v>38</v>
      </c>
      <c r="X987">
        <v>2020</v>
      </c>
      <c r="Y987" t="s">
        <v>61</v>
      </c>
      <c r="Z987" t="s">
        <v>104</v>
      </c>
      <c r="AA987" t="s">
        <v>105</v>
      </c>
    </row>
    <row r="988" spans="1:27" x14ac:dyDescent="0.3">
      <c r="A988" t="s">
        <v>1107</v>
      </c>
      <c r="B988" t="s">
        <v>43</v>
      </c>
      <c r="C988">
        <v>42</v>
      </c>
      <c r="D988" t="s">
        <v>44</v>
      </c>
      <c r="E988" t="s">
        <v>219</v>
      </c>
      <c r="F988" t="s">
        <v>56</v>
      </c>
      <c r="G988">
        <v>39286</v>
      </c>
      <c r="H988" s="1">
        <v>45268</v>
      </c>
      <c r="I988" t="s">
        <v>32</v>
      </c>
      <c r="J988" t="s">
        <v>73</v>
      </c>
      <c r="K988" t="s">
        <v>58</v>
      </c>
      <c r="L988">
        <v>1</v>
      </c>
      <c r="M988">
        <v>4</v>
      </c>
      <c r="N988">
        <v>4</v>
      </c>
      <c r="O988" t="s">
        <v>35</v>
      </c>
      <c r="P988" t="s">
        <v>36</v>
      </c>
      <c r="Q988">
        <v>200</v>
      </c>
      <c r="R988">
        <v>25</v>
      </c>
      <c r="S988">
        <v>21</v>
      </c>
      <c r="T988" t="s">
        <v>37</v>
      </c>
      <c r="U988" t="s">
        <v>37</v>
      </c>
      <c r="V988" t="s">
        <v>36</v>
      </c>
      <c r="W988" t="s">
        <v>126</v>
      </c>
      <c r="X988">
        <v>2023</v>
      </c>
      <c r="Y988" t="s">
        <v>116</v>
      </c>
      <c r="Z988" t="s">
        <v>70</v>
      </c>
      <c r="AA988" t="s">
        <v>63</v>
      </c>
    </row>
    <row r="989" spans="1:27" x14ac:dyDescent="0.3">
      <c r="A989" t="s">
        <v>1108</v>
      </c>
      <c r="B989" t="s">
        <v>28</v>
      </c>
      <c r="C989">
        <v>38</v>
      </c>
      <c r="D989" t="s">
        <v>89</v>
      </c>
      <c r="E989" t="s">
        <v>144</v>
      </c>
      <c r="F989" t="s">
        <v>96</v>
      </c>
      <c r="G989">
        <v>95357</v>
      </c>
      <c r="H989" s="1">
        <v>45850</v>
      </c>
      <c r="I989" t="s">
        <v>98</v>
      </c>
      <c r="J989" t="s">
        <v>67</v>
      </c>
      <c r="K989" t="s">
        <v>58</v>
      </c>
      <c r="L989">
        <v>10</v>
      </c>
      <c r="M989">
        <v>5</v>
      </c>
      <c r="N989">
        <v>2</v>
      </c>
      <c r="O989" t="s">
        <v>59</v>
      </c>
      <c r="P989" t="s">
        <v>37</v>
      </c>
      <c r="Q989">
        <v>250</v>
      </c>
      <c r="R989">
        <v>55</v>
      </c>
      <c r="S989">
        <v>7</v>
      </c>
      <c r="T989" t="s">
        <v>37</v>
      </c>
      <c r="U989" t="s">
        <v>37</v>
      </c>
      <c r="V989" t="s">
        <v>36</v>
      </c>
      <c r="W989" t="s">
        <v>60</v>
      </c>
      <c r="X989">
        <v>2025</v>
      </c>
      <c r="Y989" t="s">
        <v>79</v>
      </c>
      <c r="Z989" t="s">
        <v>62</v>
      </c>
      <c r="AA989" t="s">
        <v>87</v>
      </c>
    </row>
    <row r="990" spans="1:27" x14ac:dyDescent="0.3">
      <c r="A990" t="s">
        <v>1109</v>
      </c>
      <c r="B990" t="s">
        <v>28</v>
      </c>
      <c r="C990">
        <v>30</v>
      </c>
      <c r="D990" t="s">
        <v>54</v>
      </c>
      <c r="E990" t="s">
        <v>55</v>
      </c>
      <c r="F990" t="s">
        <v>96</v>
      </c>
      <c r="G990">
        <v>91833</v>
      </c>
      <c r="H990" s="1">
        <v>43694</v>
      </c>
      <c r="I990" t="s">
        <v>47</v>
      </c>
      <c r="J990" t="s">
        <v>101</v>
      </c>
      <c r="K990" t="s">
        <v>58</v>
      </c>
      <c r="L990">
        <v>16</v>
      </c>
      <c r="M990">
        <v>3</v>
      </c>
      <c r="N990">
        <v>4</v>
      </c>
      <c r="O990" t="s">
        <v>59</v>
      </c>
      <c r="P990" t="s">
        <v>36</v>
      </c>
      <c r="Q990">
        <v>197</v>
      </c>
      <c r="R990">
        <v>34</v>
      </c>
      <c r="S990">
        <v>24</v>
      </c>
      <c r="T990" t="s">
        <v>36</v>
      </c>
      <c r="U990" t="s">
        <v>36</v>
      </c>
      <c r="V990" t="s">
        <v>36</v>
      </c>
      <c r="W990" t="s">
        <v>60</v>
      </c>
      <c r="X990">
        <v>2019</v>
      </c>
      <c r="Y990" t="s">
        <v>128</v>
      </c>
      <c r="Z990" t="s">
        <v>75</v>
      </c>
      <c r="AA990" t="s">
        <v>87</v>
      </c>
    </row>
    <row r="991" spans="1:27" x14ac:dyDescent="0.3">
      <c r="A991" t="s">
        <v>1110</v>
      </c>
      <c r="B991" t="s">
        <v>28</v>
      </c>
      <c r="C991">
        <v>32</v>
      </c>
      <c r="D991" t="s">
        <v>77</v>
      </c>
      <c r="E991" t="s">
        <v>78</v>
      </c>
      <c r="F991" t="s">
        <v>46</v>
      </c>
      <c r="G991">
        <v>68961</v>
      </c>
      <c r="H991" s="1">
        <v>45846</v>
      </c>
      <c r="I991" t="s">
        <v>47</v>
      </c>
      <c r="J991" t="s">
        <v>118</v>
      </c>
      <c r="K991" t="s">
        <v>58</v>
      </c>
      <c r="L991">
        <v>9</v>
      </c>
      <c r="M991">
        <v>3</v>
      </c>
      <c r="N991">
        <v>3</v>
      </c>
      <c r="O991" t="s">
        <v>50</v>
      </c>
      <c r="P991" t="s">
        <v>36</v>
      </c>
      <c r="Q991">
        <v>233</v>
      </c>
      <c r="R991">
        <v>29</v>
      </c>
      <c r="S991">
        <v>24</v>
      </c>
      <c r="T991" t="s">
        <v>37</v>
      </c>
      <c r="U991" t="s">
        <v>37</v>
      </c>
      <c r="V991" t="s">
        <v>36</v>
      </c>
      <c r="W991" t="s">
        <v>126</v>
      </c>
      <c r="X991">
        <v>2025</v>
      </c>
      <c r="Y991" t="s">
        <v>79</v>
      </c>
      <c r="Z991" t="s">
        <v>40</v>
      </c>
      <c r="AA991" t="s">
        <v>52</v>
      </c>
    </row>
    <row r="992" spans="1:27" x14ac:dyDescent="0.3">
      <c r="A992" t="s">
        <v>1111</v>
      </c>
      <c r="B992" t="s">
        <v>43</v>
      </c>
      <c r="C992">
        <v>33</v>
      </c>
      <c r="D992" t="s">
        <v>29</v>
      </c>
      <c r="E992" t="s">
        <v>30</v>
      </c>
      <c r="F992" t="s">
        <v>96</v>
      </c>
      <c r="G992">
        <v>111925</v>
      </c>
      <c r="H992" s="1">
        <v>44243</v>
      </c>
      <c r="I992" t="s">
        <v>57</v>
      </c>
      <c r="J992" t="s">
        <v>48</v>
      </c>
      <c r="K992" t="s">
        <v>49</v>
      </c>
      <c r="L992">
        <v>15</v>
      </c>
      <c r="M992">
        <v>2</v>
      </c>
      <c r="N992">
        <v>2</v>
      </c>
      <c r="O992" t="s">
        <v>68</v>
      </c>
      <c r="P992" t="s">
        <v>36</v>
      </c>
      <c r="Q992">
        <v>167</v>
      </c>
      <c r="R992">
        <v>37</v>
      </c>
      <c r="S992">
        <v>8</v>
      </c>
      <c r="T992" t="s">
        <v>36</v>
      </c>
      <c r="U992" t="s">
        <v>36</v>
      </c>
      <c r="V992" t="s">
        <v>36</v>
      </c>
      <c r="W992" t="s">
        <v>60</v>
      </c>
      <c r="X992">
        <v>2021</v>
      </c>
      <c r="Y992" t="s">
        <v>39</v>
      </c>
      <c r="Z992" t="s">
        <v>40</v>
      </c>
      <c r="AA992" t="s">
        <v>87</v>
      </c>
    </row>
    <row r="993" spans="1:27" x14ac:dyDescent="0.3">
      <c r="A993" t="s">
        <v>1112</v>
      </c>
      <c r="B993" t="s">
        <v>43</v>
      </c>
      <c r="C993">
        <v>21</v>
      </c>
      <c r="D993" t="s">
        <v>65</v>
      </c>
      <c r="E993" t="s">
        <v>66</v>
      </c>
      <c r="F993" t="s">
        <v>31</v>
      </c>
      <c r="G993">
        <v>45323</v>
      </c>
      <c r="H993" s="1">
        <v>45574</v>
      </c>
      <c r="I993" t="s">
        <v>98</v>
      </c>
      <c r="J993" t="s">
        <v>48</v>
      </c>
      <c r="K993" t="s">
        <v>34</v>
      </c>
      <c r="L993">
        <v>7</v>
      </c>
      <c r="M993">
        <v>5</v>
      </c>
      <c r="N993">
        <v>1</v>
      </c>
      <c r="O993" t="s">
        <v>59</v>
      </c>
      <c r="P993" t="s">
        <v>36</v>
      </c>
      <c r="Q993">
        <v>244</v>
      </c>
      <c r="R993">
        <v>23</v>
      </c>
      <c r="S993">
        <v>22</v>
      </c>
      <c r="T993" t="s">
        <v>37</v>
      </c>
      <c r="U993" t="s">
        <v>36</v>
      </c>
      <c r="V993" t="s">
        <v>36</v>
      </c>
      <c r="W993" t="s">
        <v>60</v>
      </c>
      <c r="X993">
        <v>2024</v>
      </c>
      <c r="Y993" t="s">
        <v>83</v>
      </c>
      <c r="Z993" t="s">
        <v>104</v>
      </c>
      <c r="AA993" t="s">
        <v>41</v>
      </c>
    </row>
    <row r="994" spans="1:27" x14ac:dyDescent="0.3">
      <c r="A994" t="s">
        <v>1113</v>
      </c>
      <c r="B994" t="s">
        <v>28</v>
      </c>
      <c r="C994">
        <v>30</v>
      </c>
      <c r="D994" t="s">
        <v>77</v>
      </c>
      <c r="E994" t="s">
        <v>78</v>
      </c>
      <c r="F994" t="s">
        <v>31</v>
      </c>
      <c r="G994">
        <v>48586</v>
      </c>
      <c r="H994" s="1">
        <v>44853</v>
      </c>
      <c r="I994" t="s">
        <v>32</v>
      </c>
      <c r="J994" t="s">
        <v>91</v>
      </c>
      <c r="K994" t="s">
        <v>34</v>
      </c>
      <c r="L994">
        <v>6</v>
      </c>
      <c r="M994">
        <v>2</v>
      </c>
      <c r="N994">
        <v>2</v>
      </c>
      <c r="O994" t="s">
        <v>35</v>
      </c>
      <c r="P994" t="s">
        <v>36</v>
      </c>
      <c r="Q994">
        <v>186</v>
      </c>
      <c r="R994">
        <v>51</v>
      </c>
      <c r="S994">
        <v>19</v>
      </c>
      <c r="T994" t="s">
        <v>37</v>
      </c>
      <c r="U994" t="s">
        <v>36</v>
      </c>
      <c r="V994" t="s">
        <v>36</v>
      </c>
      <c r="W994" t="s">
        <v>60</v>
      </c>
      <c r="X994">
        <v>2022</v>
      </c>
      <c r="Y994" t="s">
        <v>83</v>
      </c>
      <c r="Z994" t="s">
        <v>75</v>
      </c>
      <c r="AA994" t="s">
        <v>41</v>
      </c>
    </row>
    <row r="995" spans="1:27" x14ac:dyDescent="0.3">
      <c r="A995" t="s">
        <v>1114</v>
      </c>
      <c r="B995" t="s">
        <v>28</v>
      </c>
      <c r="C995">
        <v>27</v>
      </c>
      <c r="D995" t="s">
        <v>81</v>
      </c>
      <c r="E995" t="s">
        <v>113</v>
      </c>
      <c r="F995" t="s">
        <v>56</v>
      </c>
      <c r="G995">
        <v>35893</v>
      </c>
      <c r="H995" s="1">
        <v>43788</v>
      </c>
      <c r="I995" t="s">
        <v>107</v>
      </c>
      <c r="J995" t="s">
        <v>91</v>
      </c>
      <c r="K995" t="s">
        <v>49</v>
      </c>
      <c r="L995">
        <v>0</v>
      </c>
      <c r="M995">
        <v>3</v>
      </c>
      <c r="N995">
        <v>5</v>
      </c>
      <c r="O995" t="s">
        <v>59</v>
      </c>
      <c r="P995" t="s">
        <v>36</v>
      </c>
      <c r="Q995">
        <v>201</v>
      </c>
      <c r="R995">
        <v>77</v>
      </c>
      <c r="S995">
        <v>23</v>
      </c>
      <c r="T995" t="s">
        <v>36</v>
      </c>
      <c r="U995" t="s">
        <v>37</v>
      </c>
      <c r="V995" t="s">
        <v>36</v>
      </c>
      <c r="W995" t="s">
        <v>126</v>
      </c>
      <c r="X995">
        <v>2019</v>
      </c>
      <c r="Y995" t="s">
        <v>123</v>
      </c>
      <c r="Z995" t="s">
        <v>75</v>
      </c>
      <c r="AA995" t="s">
        <v>63</v>
      </c>
    </row>
    <row r="996" spans="1:27" x14ac:dyDescent="0.3">
      <c r="A996" t="s">
        <v>1115</v>
      </c>
      <c r="B996" t="s">
        <v>43</v>
      </c>
      <c r="C996">
        <v>24</v>
      </c>
      <c r="D996" t="s">
        <v>89</v>
      </c>
      <c r="E996" t="s">
        <v>130</v>
      </c>
      <c r="F996" t="s">
        <v>46</v>
      </c>
      <c r="G996">
        <v>106663</v>
      </c>
      <c r="H996" s="1">
        <v>44282</v>
      </c>
      <c r="I996" t="s">
        <v>107</v>
      </c>
      <c r="J996" t="s">
        <v>118</v>
      </c>
      <c r="K996" t="s">
        <v>49</v>
      </c>
      <c r="L996">
        <v>10</v>
      </c>
      <c r="M996">
        <v>3</v>
      </c>
      <c r="N996">
        <v>2</v>
      </c>
      <c r="O996" t="s">
        <v>59</v>
      </c>
      <c r="P996" t="s">
        <v>36</v>
      </c>
      <c r="Q996">
        <v>197</v>
      </c>
      <c r="R996">
        <v>13</v>
      </c>
      <c r="S996">
        <v>15</v>
      </c>
      <c r="T996" t="s">
        <v>37</v>
      </c>
      <c r="U996" t="s">
        <v>36</v>
      </c>
      <c r="V996" t="s">
        <v>36</v>
      </c>
      <c r="W996" t="s">
        <v>60</v>
      </c>
      <c r="X996">
        <v>2021</v>
      </c>
      <c r="Y996" t="s">
        <v>142</v>
      </c>
      <c r="Z996" t="s">
        <v>104</v>
      </c>
      <c r="AA996" t="s">
        <v>87</v>
      </c>
    </row>
    <row r="997" spans="1:27" x14ac:dyDescent="0.3">
      <c r="A997" t="s">
        <v>1116</v>
      </c>
      <c r="B997" t="s">
        <v>28</v>
      </c>
      <c r="C997">
        <v>30</v>
      </c>
      <c r="D997" t="s">
        <v>54</v>
      </c>
      <c r="E997" t="s">
        <v>111</v>
      </c>
      <c r="F997" t="s">
        <v>46</v>
      </c>
      <c r="G997">
        <v>83713</v>
      </c>
      <c r="H997" s="1">
        <v>43556</v>
      </c>
      <c r="I997" t="s">
        <v>107</v>
      </c>
      <c r="J997" t="s">
        <v>73</v>
      </c>
      <c r="K997" t="s">
        <v>49</v>
      </c>
      <c r="L997">
        <v>10</v>
      </c>
      <c r="M997">
        <v>5</v>
      </c>
      <c r="N997">
        <v>1</v>
      </c>
      <c r="O997" t="s">
        <v>68</v>
      </c>
      <c r="P997" t="s">
        <v>36</v>
      </c>
      <c r="Q997">
        <v>192</v>
      </c>
      <c r="R997">
        <v>46</v>
      </c>
      <c r="S997">
        <v>27</v>
      </c>
      <c r="T997" t="s">
        <v>36</v>
      </c>
      <c r="U997" t="s">
        <v>36</v>
      </c>
      <c r="V997" t="s">
        <v>36</v>
      </c>
      <c r="W997" t="s">
        <v>126</v>
      </c>
      <c r="X997">
        <v>2019</v>
      </c>
      <c r="Y997" t="s">
        <v>69</v>
      </c>
      <c r="Z997" t="s">
        <v>75</v>
      </c>
      <c r="AA997" t="s">
        <v>52</v>
      </c>
    </row>
    <row r="998" spans="1:27" x14ac:dyDescent="0.3">
      <c r="A998" t="s">
        <v>1117</v>
      </c>
      <c r="B998" t="s">
        <v>43</v>
      </c>
      <c r="C998">
        <v>44</v>
      </c>
      <c r="D998" t="s">
        <v>81</v>
      </c>
      <c r="E998" t="s">
        <v>165</v>
      </c>
      <c r="F998" t="s">
        <v>31</v>
      </c>
      <c r="G998">
        <v>45697</v>
      </c>
      <c r="H998" s="1">
        <v>43521</v>
      </c>
      <c r="I998" t="s">
        <v>98</v>
      </c>
      <c r="J998" t="s">
        <v>48</v>
      </c>
      <c r="K998" t="s">
        <v>49</v>
      </c>
      <c r="L998">
        <v>3</v>
      </c>
      <c r="M998">
        <v>4</v>
      </c>
      <c r="N998">
        <v>3</v>
      </c>
      <c r="O998" t="s">
        <v>68</v>
      </c>
      <c r="P998" t="s">
        <v>37</v>
      </c>
      <c r="Q998">
        <v>180</v>
      </c>
      <c r="R998">
        <v>54</v>
      </c>
      <c r="S998">
        <v>5</v>
      </c>
      <c r="T998" t="s">
        <v>36</v>
      </c>
      <c r="U998" t="s">
        <v>36</v>
      </c>
      <c r="V998" t="s">
        <v>36</v>
      </c>
      <c r="W998" t="s">
        <v>60</v>
      </c>
      <c r="X998">
        <v>2019</v>
      </c>
      <c r="Y998" t="s">
        <v>39</v>
      </c>
      <c r="Z998" t="s">
        <v>70</v>
      </c>
      <c r="AA998" t="s">
        <v>41</v>
      </c>
    </row>
    <row r="999" spans="1:27" x14ac:dyDescent="0.3">
      <c r="A999" t="s">
        <v>1118</v>
      </c>
      <c r="B999" t="s">
        <v>43</v>
      </c>
      <c r="C999">
        <v>36</v>
      </c>
      <c r="D999" t="s">
        <v>44</v>
      </c>
      <c r="E999" t="s">
        <v>115</v>
      </c>
      <c r="F999" t="s">
        <v>31</v>
      </c>
      <c r="G999">
        <v>55613</v>
      </c>
      <c r="H999" s="1">
        <v>44698</v>
      </c>
      <c r="I999" t="s">
        <v>47</v>
      </c>
      <c r="J999" t="s">
        <v>33</v>
      </c>
      <c r="K999" t="s">
        <v>34</v>
      </c>
      <c r="L999">
        <v>2</v>
      </c>
      <c r="M999">
        <v>3</v>
      </c>
      <c r="N999">
        <v>3</v>
      </c>
      <c r="O999" t="s">
        <v>59</v>
      </c>
      <c r="P999" t="s">
        <v>37</v>
      </c>
      <c r="Q999">
        <v>241</v>
      </c>
      <c r="R999">
        <v>33</v>
      </c>
      <c r="S999">
        <v>5</v>
      </c>
      <c r="T999" t="s">
        <v>36</v>
      </c>
      <c r="U999" t="s">
        <v>37</v>
      </c>
      <c r="V999" t="s">
        <v>36</v>
      </c>
      <c r="W999" t="s">
        <v>60</v>
      </c>
      <c r="X999">
        <v>2022</v>
      </c>
      <c r="Y999" t="s">
        <v>74</v>
      </c>
      <c r="Z999" t="s">
        <v>62</v>
      </c>
      <c r="AA999" t="s">
        <v>41</v>
      </c>
    </row>
    <row r="1000" spans="1:27" x14ac:dyDescent="0.3">
      <c r="A1000" t="s">
        <v>1119</v>
      </c>
      <c r="B1000" t="s">
        <v>28</v>
      </c>
      <c r="C1000">
        <v>28</v>
      </c>
      <c r="D1000" t="s">
        <v>54</v>
      </c>
      <c r="E1000" t="s">
        <v>55</v>
      </c>
      <c r="F1000" t="s">
        <v>46</v>
      </c>
      <c r="G1000">
        <v>75945</v>
      </c>
      <c r="H1000" s="1">
        <v>43958</v>
      </c>
      <c r="I1000" t="s">
        <v>98</v>
      </c>
      <c r="J1000" t="s">
        <v>67</v>
      </c>
      <c r="K1000" t="s">
        <v>49</v>
      </c>
      <c r="L1000">
        <v>7</v>
      </c>
      <c r="M1000">
        <v>1</v>
      </c>
      <c r="N1000">
        <v>3</v>
      </c>
      <c r="O1000" t="s">
        <v>68</v>
      </c>
      <c r="P1000" t="s">
        <v>36</v>
      </c>
      <c r="Q1000">
        <v>220</v>
      </c>
      <c r="R1000">
        <v>31</v>
      </c>
      <c r="S1000">
        <v>13</v>
      </c>
      <c r="T1000" t="s">
        <v>36</v>
      </c>
      <c r="U1000" t="s">
        <v>36</v>
      </c>
      <c r="V1000" t="s">
        <v>37</v>
      </c>
      <c r="W1000" t="s">
        <v>38</v>
      </c>
      <c r="X1000">
        <v>2020</v>
      </c>
      <c r="Y1000" t="s">
        <v>74</v>
      </c>
      <c r="Z1000" t="s">
        <v>75</v>
      </c>
      <c r="AA1000" t="s">
        <v>52</v>
      </c>
    </row>
    <row r="1001" spans="1:27" x14ac:dyDescent="0.3">
      <c r="A1001" t="s">
        <v>1120</v>
      </c>
      <c r="B1001" t="s">
        <v>43</v>
      </c>
      <c r="C1001">
        <v>36</v>
      </c>
      <c r="D1001" t="s">
        <v>85</v>
      </c>
      <c r="E1001" t="s">
        <v>159</v>
      </c>
      <c r="F1001" t="s">
        <v>96</v>
      </c>
      <c r="G1001">
        <v>124047</v>
      </c>
      <c r="H1001" s="1">
        <v>46252</v>
      </c>
      <c r="I1001" t="s">
        <v>32</v>
      </c>
      <c r="J1001" t="s">
        <v>99</v>
      </c>
      <c r="K1001" t="s">
        <v>34</v>
      </c>
      <c r="L1001">
        <v>12</v>
      </c>
      <c r="M1001">
        <v>4</v>
      </c>
      <c r="N1001">
        <v>1</v>
      </c>
      <c r="O1001" t="s">
        <v>59</v>
      </c>
      <c r="P1001" t="s">
        <v>37</v>
      </c>
      <c r="Q1001">
        <v>213</v>
      </c>
      <c r="R1001">
        <v>48</v>
      </c>
      <c r="S1001">
        <v>30</v>
      </c>
      <c r="T1001" t="s">
        <v>36</v>
      </c>
      <c r="U1001" t="s">
        <v>36</v>
      </c>
      <c r="V1001" t="s">
        <v>36</v>
      </c>
      <c r="W1001" t="s">
        <v>60</v>
      </c>
      <c r="X1001">
        <v>2026</v>
      </c>
      <c r="Y1001" t="s">
        <v>128</v>
      </c>
      <c r="Z1001" t="s">
        <v>62</v>
      </c>
      <c r="AA1001" t="s">
        <v>87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93D8-A6ED-4E94-A603-2974B235E3F6}">
  <dimension ref="A1:M43"/>
  <sheetViews>
    <sheetView topLeftCell="B1" workbookViewId="0">
      <selection activeCell="H15" sqref="H15"/>
    </sheetView>
  </sheetViews>
  <sheetFormatPr defaultRowHeight="14.4" x14ac:dyDescent="0.3"/>
  <cols>
    <col min="1" max="1" width="17.21875" bestFit="1" customWidth="1"/>
    <col min="2" max="2" width="17.88671875" bestFit="1" customWidth="1"/>
    <col min="3" max="3" width="8.21875" bestFit="1" customWidth="1"/>
    <col min="4" max="4" width="15.21875" bestFit="1" customWidth="1"/>
    <col min="5" max="5" width="16.77734375" bestFit="1" customWidth="1"/>
    <col min="6" max="6" width="10.77734375" bestFit="1" customWidth="1"/>
    <col min="7" max="7" width="16.77734375" bestFit="1" customWidth="1"/>
    <col min="8" max="8" width="13.88671875" bestFit="1" customWidth="1"/>
    <col min="9" max="9" width="27.88671875" bestFit="1" customWidth="1"/>
    <col min="10" max="10" width="16.77734375" bestFit="1" customWidth="1"/>
    <col min="12" max="12" width="10.77734375" bestFit="1" customWidth="1"/>
    <col min="13" max="13" width="6.33203125" bestFit="1" customWidth="1"/>
  </cols>
  <sheetData>
    <row r="1" spans="1:13" x14ac:dyDescent="0.3">
      <c r="B1" s="3" t="s">
        <v>22</v>
      </c>
      <c r="C1" t="s">
        <v>60</v>
      </c>
      <c r="D1" s="3" t="s">
        <v>21</v>
      </c>
      <c r="E1" t="s">
        <v>37</v>
      </c>
      <c r="L1" s="3" t="s">
        <v>1</v>
      </c>
      <c r="M1" t="s">
        <v>1122</v>
      </c>
    </row>
    <row r="2" spans="1:13" x14ac:dyDescent="0.3">
      <c r="L2" s="3" t="s">
        <v>3</v>
      </c>
      <c r="M2" t="s">
        <v>1122</v>
      </c>
    </row>
    <row r="3" spans="1:13" x14ac:dyDescent="0.3">
      <c r="A3" t="s">
        <v>1121</v>
      </c>
      <c r="B3" t="s">
        <v>1123</v>
      </c>
      <c r="D3" t="s">
        <v>1124</v>
      </c>
      <c r="F3" s="5" t="s">
        <v>1125</v>
      </c>
      <c r="G3" t="s">
        <v>1126</v>
      </c>
      <c r="H3" t="s">
        <v>1127</v>
      </c>
      <c r="L3" s="3" t="s">
        <v>9</v>
      </c>
      <c r="M3" t="s">
        <v>1122</v>
      </c>
    </row>
    <row r="4" spans="1:13" x14ac:dyDescent="0.3">
      <c r="A4">
        <v>1000</v>
      </c>
      <c r="B4">
        <v>615</v>
      </c>
      <c r="D4">
        <v>195</v>
      </c>
      <c r="F4" s="4">
        <f>GETPIVOTDATA("Employee ID",$D$3)/GETPIVOTDATA("Employee ID",$A$3)</f>
        <v>0.19500000000000001</v>
      </c>
      <c r="G4" s="6">
        <v>75002.471000000005</v>
      </c>
      <c r="H4" s="7">
        <v>31.791</v>
      </c>
    </row>
    <row r="5" spans="1:13" x14ac:dyDescent="0.3">
      <c r="F5" s="4"/>
      <c r="G5" s="6"/>
      <c r="H5" s="7"/>
    </row>
    <row r="6" spans="1:13" x14ac:dyDescent="0.3">
      <c r="A6">
        <f>GETPIVOTDATA("Employee ID",$A$3)</f>
        <v>1000</v>
      </c>
      <c r="B6">
        <f>GETPIVOTDATA("Employee ID",$B$3)</f>
        <v>615</v>
      </c>
      <c r="D6">
        <f>GETPIVOTDATA("Employee ID",$D$3)</f>
        <v>195</v>
      </c>
      <c r="F6" s="4">
        <f>F4</f>
        <v>0.19500000000000001</v>
      </c>
      <c r="G6" s="6">
        <f>GETPIVOTDATA("Monthly Salary",$G$3)</f>
        <v>75002.471000000005</v>
      </c>
      <c r="H6" s="7">
        <f>GETPIVOTDATA("Age",$H$3)</f>
        <v>31.791</v>
      </c>
    </row>
    <row r="7" spans="1:13" x14ac:dyDescent="0.3">
      <c r="F7" s="4"/>
      <c r="G7" s="6"/>
      <c r="H7" s="7"/>
    </row>
    <row r="8" spans="1:13" x14ac:dyDescent="0.3">
      <c r="D8" s="9" t="s">
        <v>21</v>
      </c>
      <c r="E8" s="10" t="s">
        <v>37</v>
      </c>
      <c r="F8" s="4"/>
      <c r="G8" s="6"/>
      <c r="H8" s="7"/>
      <c r="I8" s="3" t="s">
        <v>21</v>
      </c>
      <c r="J8" t="s">
        <v>37</v>
      </c>
    </row>
    <row r="9" spans="1:13" x14ac:dyDescent="0.3">
      <c r="A9" s="21" t="s">
        <v>1130</v>
      </c>
      <c r="B9" s="21"/>
      <c r="D9" s="22" t="s">
        <v>1133</v>
      </c>
      <c r="E9" s="23"/>
      <c r="F9" s="24" t="s">
        <v>1134</v>
      </c>
      <c r="G9" s="21"/>
      <c r="I9" s="21" t="s">
        <v>1137</v>
      </c>
      <c r="J9" s="21"/>
    </row>
    <row r="10" spans="1:13" x14ac:dyDescent="0.3">
      <c r="A10" s="3" t="s">
        <v>1132</v>
      </c>
      <c r="B10" t="s">
        <v>1131</v>
      </c>
      <c r="D10" s="11" t="s">
        <v>1132</v>
      </c>
      <c r="E10" s="16" t="s">
        <v>1124</v>
      </c>
      <c r="F10" s="3" t="s">
        <v>1135</v>
      </c>
      <c r="G10" t="s">
        <v>1131</v>
      </c>
      <c r="I10" s="3" t="s">
        <v>1136</v>
      </c>
      <c r="J10" t="s">
        <v>1124</v>
      </c>
    </row>
    <row r="11" spans="1:13" x14ac:dyDescent="0.3">
      <c r="A11" s="8" t="s">
        <v>77</v>
      </c>
      <c r="B11">
        <v>146</v>
      </c>
      <c r="D11" s="12" t="s">
        <v>89</v>
      </c>
      <c r="E11" s="18">
        <v>31</v>
      </c>
      <c r="F11" s="8" t="s">
        <v>43</v>
      </c>
      <c r="G11">
        <v>501</v>
      </c>
      <c r="I11" s="8" t="s">
        <v>168</v>
      </c>
      <c r="J11">
        <v>11</v>
      </c>
    </row>
    <row r="12" spans="1:13" x14ac:dyDescent="0.3">
      <c r="A12" s="8" t="s">
        <v>89</v>
      </c>
      <c r="B12">
        <v>135</v>
      </c>
      <c r="D12" s="13" t="s">
        <v>65</v>
      </c>
      <c r="E12" s="19">
        <v>27</v>
      </c>
      <c r="F12" s="8" t="s">
        <v>28</v>
      </c>
      <c r="G12">
        <v>499</v>
      </c>
      <c r="I12" s="8" t="s">
        <v>138</v>
      </c>
      <c r="J12">
        <v>10</v>
      </c>
    </row>
    <row r="13" spans="1:13" x14ac:dyDescent="0.3">
      <c r="A13" s="8" t="s">
        <v>85</v>
      </c>
      <c r="B13">
        <v>131</v>
      </c>
      <c r="D13" s="13" t="s">
        <v>81</v>
      </c>
      <c r="E13" s="19">
        <v>26</v>
      </c>
      <c r="F13" s="8" t="s">
        <v>1129</v>
      </c>
      <c r="G13">
        <v>1000</v>
      </c>
      <c r="I13" s="8" t="s">
        <v>144</v>
      </c>
      <c r="J13">
        <v>9</v>
      </c>
    </row>
    <row r="14" spans="1:13" x14ac:dyDescent="0.3">
      <c r="A14" s="8" t="s">
        <v>44</v>
      </c>
      <c r="B14">
        <v>130</v>
      </c>
      <c r="D14" s="13" t="s">
        <v>29</v>
      </c>
      <c r="E14" s="19">
        <v>25</v>
      </c>
      <c r="I14" s="8" t="s">
        <v>66</v>
      </c>
      <c r="J14">
        <v>9</v>
      </c>
    </row>
    <row r="15" spans="1:13" x14ac:dyDescent="0.3">
      <c r="A15" s="8" t="s">
        <v>65</v>
      </c>
      <c r="B15">
        <v>120</v>
      </c>
      <c r="D15" s="13" t="s">
        <v>44</v>
      </c>
      <c r="E15" s="19">
        <v>24</v>
      </c>
      <c r="I15" s="8" t="s">
        <v>90</v>
      </c>
      <c r="J15">
        <v>9</v>
      </c>
    </row>
    <row r="16" spans="1:13" x14ac:dyDescent="0.3">
      <c r="A16" s="8" t="s">
        <v>54</v>
      </c>
      <c r="B16">
        <v>117</v>
      </c>
      <c r="D16" s="13" t="s">
        <v>77</v>
      </c>
      <c r="E16" s="19">
        <v>24</v>
      </c>
      <c r="I16" s="8" t="s">
        <v>165</v>
      </c>
      <c r="J16">
        <v>9</v>
      </c>
    </row>
    <row r="17" spans="1:10" x14ac:dyDescent="0.3">
      <c r="A17" s="8" t="s">
        <v>29</v>
      </c>
      <c r="B17">
        <v>114</v>
      </c>
      <c r="D17" s="13" t="s">
        <v>85</v>
      </c>
      <c r="E17" s="19">
        <v>23</v>
      </c>
      <c r="I17" s="8" t="s">
        <v>72</v>
      </c>
      <c r="J17">
        <v>9</v>
      </c>
    </row>
    <row r="18" spans="1:10" x14ac:dyDescent="0.3">
      <c r="A18" s="8" t="s">
        <v>81</v>
      </c>
      <c r="B18">
        <v>107</v>
      </c>
      <c r="D18" s="14" t="s">
        <v>54</v>
      </c>
      <c r="E18" s="19">
        <v>15</v>
      </c>
      <c r="I18" s="8" t="s">
        <v>93</v>
      </c>
      <c r="J18">
        <v>8</v>
      </c>
    </row>
    <row r="19" spans="1:10" x14ac:dyDescent="0.3">
      <c r="A19" s="8" t="s">
        <v>1129</v>
      </c>
      <c r="B19">
        <v>1000</v>
      </c>
      <c r="D19" s="15" t="s">
        <v>1129</v>
      </c>
      <c r="E19" s="20">
        <v>195</v>
      </c>
      <c r="I19" s="8" t="s">
        <v>45</v>
      </c>
      <c r="J19">
        <v>8</v>
      </c>
    </row>
    <row r="20" spans="1:10" x14ac:dyDescent="0.3">
      <c r="I20" s="8" t="s">
        <v>201</v>
      </c>
      <c r="J20">
        <v>8</v>
      </c>
    </row>
    <row r="21" spans="1:10" x14ac:dyDescent="0.3">
      <c r="B21" s="25" t="s">
        <v>1138</v>
      </c>
      <c r="C21" s="25"/>
      <c r="D21" s="21" t="s">
        <v>1143</v>
      </c>
      <c r="E21" s="21"/>
      <c r="I21" s="8" t="s">
        <v>30</v>
      </c>
      <c r="J21">
        <v>7</v>
      </c>
    </row>
    <row r="22" spans="1:10" x14ac:dyDescent="0.3">
      <c r="B22" s="3" t="s">
        <v>1128</v>
      </c>
      <c r="C22" t="s">
        <v>1126</v>
      </c>
      <c r="D22" s="11" t="s">
        <v>1142</v>
      </c>
      <c r="E22" s="16" t="s">
        <v>1131</v>
      </c>
      <c r="F22" s="3" t="s">
        <v>1152</v>
      </c>
      <c r="G22" t="s">
        <v>1131</v>
      </c>
      <c r="I22" s="8" t="s">
        <v>203</v>
      </c>
      <c r="J22">
        <v>7</v>
      </c>
    </row>
    <row r="23" spans="1:10" x14ac:dyDescent="0.3">
      <c r="B23" s="8" t="s">
        <v>29</v>
      </c>
      <c r="C23" s="6">
        <v>79328.18421052632</v>
      </c>
      <c r="D23" s="12" t="s">
        <v>104</v>
      </c>
      <c r="E23" s="18">
        <v>183</v>
      </c>
      <c r="F23" s="8" t="s">
        <v>1144</v>
      </c>
      <c r="G23">
        <v>124</v>
      </c>
      <c r="I23" s="8" t="s">
        <v>109</v>
      </c>
      <c r="J23">
        <v>7</v>
      </c>
    </row>
    <row r="24" spans="1:10" x14ac:dyDescent="0.3">
      <c r="B24" s="8" t="s">
        <v>65</v>
      </c>
      <c r="C24" s="6">
        <v>76772.40833333334</v>
      </c>
      <c r="D24" s="13" t="s">
        <v>75</v>
      </c>
      <c r="E24" s="19">
        <v>251</v>
      </c>
      <c r="F24" s="8" t="s">
        <v>1145</v>
      </c>
      <c r="G24">
        <v>148</v>
      </c>
      <c r="I24" s="8" t="s">
        <v>120</v>
      </c>
      <c r="J24">
        <v>7</v>
      </c>
    </row>
    <row r="25" spans="1:10" x14ac:dyDescent="0.3">
      <c r="B25" s="8" t="s">
        <v>44</v>
      </c>
      <c r="C25" s="6">
        <v>76095.307692307688</v>
      </c>
      <c r="D25" s="13" t="s">
        <v>40</v>
      </c>
      <c r="E25" s="19">
        <v>283</v>
      </c>
      <c r="F25" s="8" t="s">
        <v>1146</v>
      </c>
      <c r="G25">
        <v>131</v>
      </c>
      <c r="I25" s="8" t="s">
        <v>122</v>
      </c>
      <c r="J25">
        <v>7</v>
      </c>
    </row>
    <row r="26" spans="1:10" x14ac:dyDescent="0.3">
      <c r="B26" s="8" t="s">
        <v>81</v>
      </c>
      <c r="C26" s="6">
        <v>75417.90654205608</v>
      </c>
      <c r="D26" s="13" t="s">
        <v>62</v>
      </c>
      <c r="E26" s="19">
        <v>182</v>
      </c>
      <c r="F26" s="8" t="s">
        <v>1147</v>
      </c>
      <c r="G26">
        <v>126</v>
      </c>
      <c r="I26" s="8" t="s">
        <v>151</v>
      </c>
      <c r="J26">
        <v>6</v>
      </c>
    </row>
    <row r="27" spans="1:10" x14ac:dyDescent="0.3">
      <c r="B27" s="8" t="s">
        <v>77</v>
      </c>
      <c r="C27" s="6">
        <v>75296.452054794514</v>
      </c>
      <c r="D27" s="13" t="s">
        <v>1139</v>
      </c>
      <c r="E27" s="19">
        <v>77</v>
      </c>
      <c r="F27" s="8" t="s">
        <v>1148</v>
      </c>
      <c r="G27">
        <v>137</v>
      </c>
      <c r="I27" s="8" t="s">
        <v>182</v>
      </c>
      <c r="J27">
        <v>6</v>
      </c>
    </row>
    <row r="28" spans="1:10" x14ac:dyDescent="0.3">
      <c r="B28" s="8" t="s">
        <v>85</v>
      </c>
      <c r="C28" s="6">
        <v>73147.175572519089</v>
      </c>
      <c r="D28" s="13" t="s">
        <v>1140</v>
      </c>
      <c r="E28" s="19">
        <v>21</v>
      </c>
      <c r="F28" s="8" t="s">
        <v>1149</v>
      </c>
      <c r="G28">
        <v>117</v>
      </c>
      <c r="I28" s="8" t="s">
        <v>130</v>
      </c>
      <c r="J28">
        <v>6</v>
      </c>
    </row>
    <row r="29" spans="1:10" x14ac:dyDescent="0.3">
      <c r="B29" s="8" t="s">
        <v>54</v>
      </c>
      <c r="C29" s="6">
        <v>72944.461538461532</v>
      </c>
      <c r="D29" s="13" t="s">
        <v>1141</v>
      </c>
      <c r="E29" s="19">
        <v>2</v>
      </c>
      <c r="F29" s="8" t="s">
        <v>1150</v>
      </c>
      <c r="G29">
        <v>133</v>
      </c>
      <c r="I29" s="8" t="s">
        <v>133</v>
      </c>
      <c r="J29">
        <v>5</v>
      </c>
    </row>
    <row r="30" spans="1:10" x14ac:dyDescent="0.3">
      <c r="B30" s="8" t="s">
        <v>89</v>
      </c>
      <c r="C30" s="6">
        <v>71660.733333333337</v>
      </c>
      <c r="D30" s="14" t="s">
        <v>1153</v>
      </c>
      <c r="E30" s="19">
        <v>1</v>
      </c>
      <c r="F30" s="8" t="s">
        <v>1151</v>
      </c>
      <c r="G30">
        <v>84</v>
      </c>
      <c r="I30" s="8" t="s">
        <v>219</v>
      </c>
      <c r="J30">
        <v>5</v>
      </c>
    </row>
    <row r="31" spans="1:10" x14ac:dyDescent="0.3">
      <c r="B31" s="8" t="s">
        <v>1129</v>
      </c>
      <c r="C31" s="6">
        <v>75002.471000000005</v>
      </c>
      <c r="D31" s="15" t="s">
        <v>1129</v>
      </c>
      <c r="E31" s="20">
        <v>1000</v>
      </c>
      <c r="F31" s="8" t="s">
        <v>1129</v>
      </c>
      <c r="G31">
        <v>1000</v>
      </c>
      <c r="I31" s="8" t="s">
        <v>113</v>
      </c>
      <c r="J31">
        <v>5</v>
      </c>
    </row>
    <row r="32" spans="1:10" x14ac:dyDescent="0.3">
      <c r="I32" s="8" t="s">
        <v>115</v>
      </c>
      <c r="J32">
        <v>4</v>
      </c>
    </row>
    <row r="33" spans="9:10" x14ac:dyDescent="0.3">
      <c r="I33" s="8" t="s">
        <v>55</v>
      </c>
      <c r="J33">
        <v>4</v>
      </c>
    </row>
    <row r="34" spans="9:10" x14ac:dyDescent="0.3">
      <c r="I34" s="8" t="s">
        <v>86</v>
      </c>
      <c r="J34">
        <v>4</v>
      </c>
    </row>
    <row r="35" spans="9:10" x14ac:dyDescent="0.3">
      <c r="I35" s="8" t="s">
        <v>207</v>
      </c>
      <c r="J35">
        <v>4</v>
      </c>
    </row>
    <row r="36" spans="9:10" x14ac:dyDescent="0.3">
      <c r="I36" s="8" t="s">
        <v>153</v>
      </c>
      <c r="J36">
        <v>4</v>
      </c>
    </row>
    <row r="37" spans="9:10" x14ac:dyDescent="0.3">
      <c r="I37" s="8" t="s">
        <v>82</v>
      </c>
      <c r="J37">
        <v>4</v>
      </c>
    </row>
    <row r="38" spans="9:10" x14ac:dyDescent="0.3">
      <c r="I38" s="8" t="s">
        <v>78</v>
      </c>
      <c r="J38">
        <v>3</v>
      </c>
    </row>
    <row r="39" spans="9:10" x14ac:dyDescent="0.3">
      <c r="I39" s="8" t="s">
        <v>111</v>
      </c>
      <c r="J39">
        <v>3</v>
      </c>
    </row>
    <row r="40" spans="9:10" x14ac:dyDescent="0.3">
      <c r="I40" s="8" t="s">
        <v>103</v>
      </c>
      <c r="J40">
        <v>3</v>
      </c>
    </row>
    <row r="41" spans="9:10" x14ac:dyDescent="0.3">
      <c r="I41" s="8" t="s">
        <v>147</v>
      </c>
      <c r="J41">
        <v>2</v>
      </c>
    </row>
    <row r="42" spans="9:10" x14ac:dyDescent="0.3">
      <c r="I42" s="8" t="s">
        <v>159</v>
      </c>
      <c r="J42">
        <v>2</v>
      </c>
    </row>
    <row r="43" spans="9:10" x14ac:dyDescent="0.3">
      <c r="I43" s="8" t="s">
        <v>1129</v>
      </c>
      <c r="J43">
        <v>195</v>
      </c>
    </row>
  </sheetData>
  <mergeCells count="6">
    <mergeCell ref="A9:B9"/>
    <mergeCell ref="D9:E9"/>
    <mergeCell ref="F9:G9"/>
    <mergeCell ref="I9:J9"/>
    <mergeCell ref="B21:C21"/>
    <mergeCell ref="D21:E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showGridLines="0" tabSelected="1" workbookViewId="0">
      <selection activeCell="H15" sqref="H15"/>
    </sheetView>
  </sheetViews>
  <sheetFormatPr defaultRowHeight="14.4" x14ac:dyDescent="0.3"/>
  <cols>
    <col min="1" max="1" width="22" bestFit="1" customWidth="1"/>
    <col min="2" max="2" width="21.44140625" bestFit="1" customWidth="1"/>
  </cols>
  <sheetData>
    <row r="1" spans="1:2" x14ac:dyDescent="0.3">
      <c r="A1" s="17"/>
      <c r="B1" s="17"/>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HR_Data</vt:lpstr>
      <vt:lpstr>HR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Maskapuram Laxman</cp:lastModifiedBy>
  <dcterms:created xsi:type="dcterms:W3CDTF">2026-08-17T08:36:35Z</dcterms:created>
  <dcterms:modified xsi:type="dcterms:W3CDTF">2026-09-07T04:34:19Z</dcterms:modified>
</cp:coreProperties>
</file>